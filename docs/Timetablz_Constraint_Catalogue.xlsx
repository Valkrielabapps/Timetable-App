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6380" windowHeight="8196" tabRatio="500" activeTab="5"/>
  </bookViews>
  <sheets>
    <sheet name="Read me" sheetId="1" r:id="rId1"/>
    <sheet name="Constraint types" sheetId="2" r:id="rId2"/>
    <sheet name="Phrasings" sheetId="3" r:id="rId3"/>
    <sheet name="Ways of asking" sheetId="4" r:id="rId4"/>
    <sheet name="Traps" sheetId="5" r:id="rId5"/>
    <sheet name="Coverage" sheetId="6" r:id="rId6"/>
  </sheets>
  <definedNames>
    <definedName name="_xlnm._FilterDatabase" localSheetId="1" hidden="1">'Constraint types'!$A$1:$J$101</definedName>
    <definedName name="_xlnm._FilterDatabase" localSheetId="2" hidden="1">Phrasings!$A$1:$G$333</definedName>
    <definedName name="_xlnm._FilterDatabase" localSheetId="4" hidden="1">Traps!$A$1:$D$24</definedName>
    <definedName name="_xlnm._FilterDatabase" localSheetId="3" hidden="1">'Ways of asking'!$A$1:$D$45</definedName>
  </definedNames>
  <calcPr calcId="144525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8" i="6" l="1"/>
  <c r="C3" i="6" s="1"/>
  <c r="D7" i="6"/>
  <c r="B7" i="6"/>
  <c r="C7" i="6" s="1"/>
  <c r="D6" i="6"/>
  <c r="B6" i="6"/>
  <c r="C6" i="6" s="1"/>
  <c r="D5" i="6"/>
  <c r="B5" i="6"/>
  <c r="C5" i="6" s="1"/>
  <c r="D4" i="6"/>
  <c r="D8" i="6" s="1"/>
  <c r="B4" i="6"/>
  <c r="C4" i="6" s="1"/>
  <c r="D3" i="6"/>
  <c r="B3" i="6"/>
  <c r="D2" i="6"/>
  <c r="B2" i="6"/>
  <c r="C2" i="6" s="1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C8" i="6" l="1"/>
</calcChain>
</file>

<file path=xl/sharedStrings.xml><?xml version="1.0" encoding="utf-8"?>
<sst xmlns="http://schemas.openxmlformats.org/spreadsheetml/2006/main" count="3222" uniqueCount="1390">
  <si>
    <t>Timetablz constraint catalogue and phrasing set</t>
  </si>
  <si>
    <t>Every kind of rule a school admin might type, with examples and the many ways each can be worded. Use it to test and improve the constraint parser (app/services/llm_constraint_parser.py).</t>
  </si>
  <si>
    <t>Tabs</t>
  </si>
  <si>
    <t>Constraint types: 100 rule types across 15 categories, each with one example, the parser type it maps to today, and its status.</t>
  </si>
  <si>
    <t>Phrasings: 332 real-world wordings, each tagged with its style and the parse we'd expect. This is your test set: feed each phrasing to the parser and compare to 'Expected parse'.</t>
  </si>
  <si>
    <t>Ways of asking: the 44 ways the same rule can be worded (scope, synonyms, Hinglish, typos, shorthand, etc.).</t>
  </si>
  <si>
    <t>Traps: 23 ambiguous or tricky wordings and what the parser should do with each.</t>
  </si>
  <si>
    <t>Coverage: live counts by status (formulas).</t>
  </si>
  <si>
    <t>Status legend</t>
  </si>
  <si>
    <t>Supported</t>
  </si>
  <si>
    <t>The parser has a type for it and the solver enforces it.</t>
  </si>
  <si>
    <t>Partly supported</t>
  </si>
  <si>
    <t>Can be expressed by expanding into supported rules (e.g. 'only Mon/Wed/Fri' -&gt; unavailable on the other days), or only some variants work.</t>
  </si>
  <si>
    <t>Not yet (saved as note)</t>
  </si>
  <si>
    <t>Parser falls back to scheduling_rule: saved and shown, but not enforced.</t>
  </si>
  <si>
    <t>Setup data (not a rule)</t>
  </si>
  <si>
    <t>Belongs on the Data/Setup screens (subjects per week, rooms, periods, breaks, batches), not the Constraints tab.</t>
  </si>
  <si>
    <t>Edit command</t>
  </si>
  <si>
    <t>A change to an existing timetable (swap, lock, substitute), not a weekly rule.</t>
  </si>
  <si>
    <t>Needs clarification</t>
  </si>
  <si>
    <t>Too vague, contradictory, or refers to an unknown name - the right answer is to ask.</t>
  </si>
  <si>
    <t>Sample school used in the examples</t>
  </si>
  <si>
    <t>Teachers: Mrs. Rao (Maths), Mr. Khan (Science), Priya Sharma (English), Arjun Mehta (PE), Ms. Das (Hindi), Mr. Iyer (Computer Science)</t>
  </si>
  <si>
    <t>Subjects: Maths, Science, English, Hindi, Kannada, Sanskrit, PE, Computer Science, Art, Music, Library, Physics, Chemistry, Biology</t>
  </si>
  <si>
    <t>Classes: Nursery to Grade 12, sections A-C (e.g. 'Grade 8 - A'). Days: 0 = Monday ... 5 = Saturday.</t>
  </si>
  <si>
    <t>Parser types today: workload_limit, availability, subject_period_position, subject_day_position, max_consecutive_periods, min_gap_between_subjects, max_subject_periods_per_day, subject_sequence, scheduling_rule (catch-all). Every type also takes strength = hard/soft.</t>
  </si>
  <si>
    <t>ID</t>
  </si>
  <si>
    <t>Category</t>
  </si>
  <si>
    <t>Constraint</t>
  </si>
  <si>
    <t>What it means</t>
  </si>
  <si>
    <t>Example</t>
  </si>
  <si>
    <t>Timetablz type today</t>
  </si>
  <si>
    <t>Status</t>
  </si>
  <si>
    <t>Usually</t>
  </si>
  <si>
    <t>Fields to extract</t>
  </si>
  <si>
    <t>Phrasings</t>
  </si>
  <si>
    <t>C001</t>
  </si>
  <si>
    <t>Teacher availability</t>
  </si>
  <si>
    <t>Teacher unavailable on a whole day</t>
  </si>
  <si>
    <t>Teacher cannot be scheduled at all on a given weekday</t>
  </si>
  <si>
    <t>Mrs. Rao doesn't come on Saturdays</t>
  </si>
  <si>
    <t>availability</t>
  </si>
  <si>
    <t>Hard</t>
  </si>
  <si>
    <t>teacher, day</t>
  </si>
  <si>
    <t>C002</t>
  </si>
  <si>
    <t>Teacher available only on certain days</t>
  </si>
  <si>
    <t>Teacher works only some days; every other day is unavailable</t>
  </si>
  <si>
    <t>Arjun sir only comes Monday, Wednesday and Friday</t>
  </si>
  <si>
    <t>availability (one per missing day)</t>
  </si>
  <si>
    <t>teacher, allowed days -&gt; expand to unavailable days</t>
  </si>
  <si>
    <t>C003</t>
  </si>
  <si>
    <t>Teacher unavailable in a specific period</t>
  </si>
  <si>
    <t>Teacher cannot take one period number (every day or on one day)</t>
  </si>
  <si>
    <t>Mr. Khan can't take the first period on Tuesdays</t>
  </si>
  <si>
    <t>scheduling_rule</t>
  </si>
  <si>
    <t>teacher, period, day(optional)</t>
  </si>
  <si>
    <t>C004</t>
  </si>
  <si>
    <t>Teacher available only in a time window</t>
  </si>
  <si>
    <t>Teacher works only part of the day (half-day, till a time, from a time)</t>
  </si>
  <si>
    <t>Priya ma'am leaves at 12:30 every day</t>
  </si>
  <si>
    <t>teacher, start/end time or period, days</t>
  </si>
  <si>
    <t>C005</t>
  </si>
  <si>
    <t>Teacher arrives late / leaves early on some days</t>
  </si>
  <si>
    <t>Unavailable for the first or last N periods on specific days</t>
  </si>
  <si>
    <t>Ms. Das comes only after the second period on Thursdays</t>
  </si>
  <si>
    <t>teacher, day, periods blocked</t>
  </si>
  <si>
    <t>C006</t>
  </si>
  <si>
    <t>Teacher shared with another school/branch/wing</t>
  </si>
  <si>
    <t>Teacher is only free in slots the other school does not use</t>
  </si>
  <si>
    <t>Mr. Iyer teaches at our junior branch on Tuesday and Thursday mornings</t>
  </si>
  <si>
    <t>teacher, days, time window</t>
  </si>
  <si>
    <t>C007</t>
  </si>
  <si>
    <t>Teacher prefers mornings / afternoons</t>
  </si>
  <si>
    <t>Soft preference for when a teacher teaches</t>
  </si>
  <si>
    <t>Mrs. Rao would like her classes in the morning if possible</t>
  </si>
  <si>
    <t>Soft</t>
  </si>
  <si>
    <t>teacher, preferred window, strength</t>
  </si>
  <si>
    <t>C008</t>
  </si>
  <si>
    <t>Teacher on leave for dates / weeks</t>
  </si>
  <si>
    <t>Date-based absence rather than weekly pattern (usually a substitution, not a timetable rule)</t>
  </si>
  <si>
    <t>Mr. Khan is on leave from 10 to 14 November</t>
  </si>
  <si>
    <t>teacher, date range</t>
  </si>
  <si>
    <t>C009</t>
  </si>
  <si>
    <t>Teacher has a fixed non-teaching duty</t>
  </si>
  <si>
    <t>Teacher busy in a slot for duty (bus, exam cell, coordinator, sports coaching)</t>
  </si>
  <si>
    <t>Arjun has cricket coaching every Friday last two periods</t>
  </si>
  <si>
    <t>teacher, day, periods</t>
  </si>
  <si>
    <t>C010</t>
  </si>
  <si>
    <t>Teacher workload</t>
  </si>
  <si>
    <t>Maximum periods per week for a teacher</t>
  </si>
  <si>
    <t>Cap on total teaching periods in the week</t>
  </si>
  <si>
    <t>Priya should not have more than 28 periods a week</t>
  </si>
  <si>
    <t>workload_limit</t>
  </si>
  <si>
    <t>teacher, max_periods_per_week</t>
  </si>
  <si>
    <t>C011</t>
  </si>
  <si>
    <t>Minimum periods per week for a teacher</t>
  </si>
  <si>
    <t>Teacher must be given at least N periods (full-time load)</t>
  </si>
  <si>
    <t>Every full-time teacher must get at least 24 periods</t>
  </si>
  <si>
    <t>Hard/Soft</t>
  </si>
  <si>
    <t>teacher or group, min per week</t>
  </si>
  <si>
    <t>C012</t>
  </si>
  <si>
    <t>Maximum periods per day for a teacher</t>
  </si>
  <si>
    <t>Cap on teaching periods in a single day</t>
  </si>
  <si>
    <t>No teacher should teach more than 6 periods in a day</t>
  </si>
  <si>
    <t>teacher or all, max per day</t>
  </si>
  <si>
    <t>C013</t>
  </si>
  <si>
    <t>Minimum periods per day for a teacher</t>
  </si>
  <si>
    <t>Teacher shouldn't come in for just one class</t>
  </si>
  <si>
    <t>If Ms. Das comes in, give her at least 3 periods that day</t>
  </si>
  <si>
    <t>teacher, min per day</t>
  </si>
  <si>
    <t>C014</t>
  </si>
  <si>
    <t>Maximum consecutive periods for a teacher</t>
  </si>
  <si>
    <t>Teacher can't teach more than N periods back to back</t>
  </si>
  <si>
    <t>Mrs. Rao can't take more than 3 classes in a row</t>
  </si>
  <si>
    <t>max_consecutive_periods (teacher)</t>
  </si>
  <si>
    <t>teacher, max_consecutive</t>
  </si>
  <si>
    <t>C015</t>
  </si>
  <si>
    <t>Minimum free periods per day for a teacher</t>
  </si>
  <si>
    <t>Teacher needs at least N free periods daily (for correction/prep)</t>
  </si>
  <si>
    <t>Every teacher needs at least one free period each day</t>
  </si>
  <si>
    <t>teacher or all, min free per day</t>
  </si>
  <si>
    <t>C016</t>
  </si>
  <si>
    <t>Balanced load across the week</t>
  </si>
  <si>
    <t>Teacher's periods spread evenly, not 8 on Monday and 2 on Friday</t>
  </si>
  <si>
    <t>Spread Mr. Khan's classes evenly through the week</t>
  </si>
  <si>
    <t>teacher, balance</t>
  </si>
  <si>
    <t>C017</t>
  </si>
  <si>
    <t>Limit idle gaps in a teacher's day</t>
  </si>
  <si>
    <t>Avoid long gaps between a teacher's first and last class</t>
  </si>
  <si>
    <t>Don't leave teachers with 3 free periods in the middle of the day</t>
  </si>
  <si>
    <t>teacher or all, max gap</t>
  </si>
  <si>
    <t>C018</t>
  </si>
  <si>
    <t>Compact days / fewer working days</t>
  </si>
  <si>
    <t>Pack a teacher's periods into fewer days</t>
  </si>
  <si>
    <t>Try to give part-time teachers all their classes in 3 days</t>
  </si>
  <si>
    <t>teacher, max days</t>
  </si>
  <si>
    <t>C019</t>
  </si>
  <si>
    <t>Free period at a specific time</t>
  </si>
  <si>
    <t>Teacher must be free in a given slot</t>
  </si>
  <si>
    <t>Keep Mrs. Rao free in the period before lunch</t>
  </si>
  <si>
    <t>teacher, period/day</t>
  </si>
  <si>
    <t>C020</t>
  </si>
  <si>
    <t>Limit number of different classes a teacher sees per day</t>
  </si>
  <si>
    <t>Avoid a teacher switching across too many sections in a day</t>
  </si>
  <si>
    <t>A teacher shouldn't take more than 4 different sections in one day</t>
  </si>
  <si>
    <t>teacher, max classes/day</t>
  </si>
  <si>
    <t>C021</t>
  </si>
  <si>
    <t>Fair share of unpopular slots</t>
  </si>
  <si>
    <t>No one teacher always gets last periods / after-lunch</t>
  </si>
  <si>
    <t>Don't give the same teacher the last period every day</t>
  </si>
  <si>
    <t>teacher or all, slot, max count</t>
  </si>
  <si>
    <t>C022</t>
  </si>
  <si>
    <t>Teacher assignment</t>
  </si>
  <si>
    <t>Teacher teaches a subject to a class</t>
  </si>
  <si>
    <t>Who teaches what (this is setup data, entered on the Data tab)</t>
  </si>
  <si>
    <t>Mrs. Rao teaches Maths to 8A and 8B</t>
  </si>
  <si>
    <t>(setup: subject requirement)</t>
  </si>
  <si>
    <t>teacher, subject, class</t>
  </si>
  <si>
    <t>C023</t>
  </si>
  <si>
    <t>Teacher must not teach a class</t>
  </si>
  <si>
    <t>Keep a teacher away from a class/section</t>
  </si>
  <si>
    <t>Mr. Khan should not be given 10B</t>
  </si>
  <si>
    <t>teacher, class</t>
  </si>
  <si>
    <t>C024</t>
  </si>
  <si>
    <t>Class teacher takes the first period</t>
  </si>
  <si>
    <t>The class teacher (homeroom) teaches period 1 in their own class daily</t>
  </si>
  <si>
    <t>Class teachers must take the first period in their own class every day</t>
  </si>
  <si>
    <t>class teacher map, period 1, days</t>
  </si>
  <si>
    <t>C025</t>
  </si>
  <si>
    <t>Same teacher for a subject across all sections</t>
  </si>
  <si>
    <t>One teacher handles e.g. Grade 9 Science in every section</t>
  </si>
  <si>
    <t>The same teacher should take Science for all of Grade 9</t>
  </si>
  <si>
    <t>subject, grade, teacher</t>
  </si>
  <si>
    <t>C026</t>
  </si>
  <si>
    <t>Two teachers in the same class together</t>
  </si>
  <si>
    <t>Co-teaching / assistant / special educator present at the same time</t>
  </si>
  <si>
    <t>Ms. Das should assist in Grade 1A's English periods</t>
  </si>
  <si>
    <t>(setup: assistant teacher)</t>
  </si>
  <si>
    <t>primary teacher, assistant, class, subject</t>
  </si>
  <si>
    <t>C027</t>
  </si>
  <si>
    <t>Teacher only for certain grades</t>
  </si>
  <si>
    <t>Teacher restricted to junior/senior classes</t>
  </si>
  <si>
    <t>Priya only teaches primary classes (1 to 5)</t>
  </si>
  <si>
    <t>teacher, grade range</t>
  </si>
  <si>
    <t>C028</t>
  </si>
  <si>
    <t>Teacher continuity</t>
  </si>
  <si>
    <t>Teacher keeps the same classes as last year / same class all year</t>
  </si>
  <si>
    <t>Keep the same Maths teacher for 10A as last year</t>
  </si>
  <si>
    <t>(setup)</t>
  </si>
  <si>
    <t>C029</t>
  </si>
  <si>
    <t>Subject timing</t>
  </si>
  <si>
    <t>Subject must be in the first period</t>
  </si>
  <si>
    <t>Subject required in period 1</t>
  </si>
  <si>
    <t>Maths should always be the first period for Grade 10</t>
  </si>
  <si>
    <t>subject_period_position (first, require)</t>
  </si>
  <si>
    <t>subject, position=first, mode=require, class</t>
  </si>
  <si>
    <t>C030</t>
  </si>
  <si>
    <t>Subject must be in the last period</t>
  </si>
  <si>
    <t>Subject required in the final period</t>
  </si>
  <si>
    <t>Keep Library for the last period</t>
  </si>
  <si>
    <t>subject_period_position (last, require)</t>
  </si>
  <si>
    <t>subject, position=last, mode=require, class</t>
  </si>
  <si>
    <t>C031</t>
  </si>
  <si>
    <t>Subject must not be in the first period</t>
  </si>
  <si>
    <t>Subject excluded from period 1</t>
  </si>
  <si>
    <t>Don't put PE in the first period</t>
  </si>
  <si>
    <t>subject_period_position (first, exclude)</t>
  </si>
  <si>
    <t>subject, position=first, mode=exclude, class</t>
  </si>
  <si>
    <t>C032</t>
  </si>
  <si>
    <t>Subject must not be in the last period</t>
  </si>
  <si>
    <t>Subject excluded from the final period</t>
  </si>
  <si>
    <t>No Maths in the last period for primary</t>
  </si>
  <si>
    <t>subject_period_position (last, exclude)</t>
  </si>
  <si>
    <t>subject, position=last, mode=exclude, class</t>
  </si>
  <si>
    <t>C033</t>
  </si>
  <si>
    <t>Subject in a specific period number</t>
  </si>
  <si>
    <t>Subject pinned to (or kept out of) period 3, period 5, etc.</t>
  </si>
  <si>
    <t>Hindi should be in the 2nd period</t>
  </si>
  <si>
    <t>subject, period number, mode, class</t>
  </si>
  <si>
    <t>C034</t>
  </si>
  <si>
    <t>Subject only in the morning / before lunch</t>
  </si>
  <si>
    <t>Subject limited to the first half of the day</t>
  </si>
  <si>
    <t>Maths and Science only before lunch</t>
  </si>
  <si>
    <t>subject, window=before break</t>
  </si>
  <si>
    <t>C035</t>
  </si>
  <si>
    <t>Subject only after lunch / afternoon</t>
  </si>
  <si>
    <t>Subject limited to the second half of the day</t>
  </si>
  <si>
    <t>Art and Music can be after lunch</t>
  </si>
  <si>
    <t>subject, window=after break</t>
  </si>
  <si>
    <t>C036</t>
  </si>
  <si>
    <t>Subject not immediately after lunch/break</t>
  </si>
  <si>
    <t>Avoid a subject right after a break (e.g. PE after eating)</t>
  </si>
  <si>
    <t>No PE right after lunch</t>
  </si>
  <si>
    <t>subject, relation to break</t>
  </si>
  <si>
    <t>C037</t>
  </si>
  <si>
    <t>Subject not immediately before a break</t>
  </si>
  <si>
    <t>Avoid a subject right before a break</t>
  </si>
  <si>
    <t>Don't keep tests or Maths just before lunch</t>
  </si>
  <si>
    <t>C038</t>
  </si>
  <si>
    <t>Subject at the same period every day</t>
  </si>
  <si>
    <t>Fixed daily slot for a subject</t>
  </si>
  <si>
    <t>Grade 1 should have English in the same period every day</t>
  </si>
  <si>
    <t>subject, class</t>
  </si>
  <si>
    <t>C039</t>
  </si>
  <si>
    <t>Heavy subjects earlier in the day</t>
  </si>
  <si>
    <t>Priority placement of core subjects in morning periods</t>
  </si>
  <si>
    <t>Core subjects should be in the first four periods</t>
  </si>
  <si>
    <t>subject group, window</t>
  </si>
  <si>
    <t>C040</t>
  </si>
  <si>
    <t>Subject days</t>
  </si>
  <si>
    <t>Subject required on a specific day</t>
  </si>
  <si>
    <t>Subject must appear on a given weekday</t>
  </si>
  <si>
    <t>Grade 6 must have Computer Science on Monday</t>
  </si>
  <si>
    <t>subject_day_position (require)</t>
  </si>
  <si>
    <t>subject, day, mode=require, class</t>
  </si>
  <si>
    <t>C041</t>
  </si>
  <si>
    <t>Subject not on a specific day</t>
  </si>
  <si>
    <t>Subject excluded from a weekday</t>
  </si>
  <si>
    <t>No PE on Fridays</t>
  </si>
  <si>
    <t>subject_day_position (exclude)</t>
  </si>
  <si>
    <t>subject, day, mode=exclude, class</t>
  </si>
  <si>
    <t>C042</t>
  </si>
  <si>
    <t>Subject only on certain days</t>
  </si>
  <si>
    <t>Subject allowed on a set of days (expands to excludes on the rest)</t>
  </si>
  <si>
    <t>Music only on Tuesdays and Thursdays</t>
  </si>
  <si>
    <t>subject_day_position (exclude on other days)</t>
  </si>
  <si>
    <t>subject, allowed days</t>
  </si>
  <si>
    <t>C043</t>
  </si>
  <si>
    <t>Maximum times a subject per day</t>
  </si>
  <si>
    <t>Cap how often one subject appears in a class's day</t>
  </si>
  <si>
    <t>Maths not more than twice a day</t>
  </si>
  <si>
    <t>max_subject_periods_per_day</t>
  </si>
  <si>
    <t>subject, max_per_day, class</t>
  </si>
  <si>
    <t>C044</t>
  </si>
  <si>
    <t>Subject at most once a day (spread out)</t>
  </si>
  <si>
    <t>Two periods of the same subject shouldn't fall on the same day</t>
  </si>
  <si>
    <t>Both PE periods can't be on the same day</t>
  </si>
  <si>
    <t>max_subject_periods_per_day (=1)</t>
  </si>
  <si>
    <t>subject, max_per_day=1, class</t>
  </si>
  <si>
    <t>C045</t>
  </si>
  <si>
    <t>Subject every day</t>
  </si>
  <si>
    <t>Subject must appear at least once each day</t>
  </si>
  <si>
    <t>English every day for primary</t>
  </si>
  <si>
    <t>subject, min per day=1, class</t>
  </si>
  <si>
    <t>C046</t>
  </si>
  <si>
    <t>Subject not on consecutive days</t>
  </si>
  <si>
    <t>Spread e.g. 3 periods on alternate days</t>
  </si>
  <si>
    <t>PE shouldn't be on two days in a row</t>
  </si>
  <si>
    <t>subject, no adjacent days</t>
  </si>
  <si>
    <t>C047</t>
  </si>
  <si>
    <t>Subject spread evenly across the week</t>
  </si>
  <si>
    <t>Distribute periods rather than clumping</t>
  </si>
  <si>
    <t>Spread Science periods through the week</t>
  </si>
  <si>
    <t>C048</t>
  </si>
  <si>
    <t>Periods per week for a subject</t>
  </si>
  <si>
    <t>How many periods a class gets (setup data)</t>
  </si>
  <si>
    <t>Grade 8 gets 7 Maths periods a week</t>
  </si>
  <si>
    <t>subject, class, periods/week</t>
  </si>
  <si>
    <t>C049</t>
  </si>
  <si>
    <t>Consecutive periods</t>
  </si>
  <si>
    <t>Maximum consecutive periods of a subject</t>
  </si>
  <si>
    <t>Subject can't run more than N back to back</t>
  </si>
  <si>
    <t>Not more than 2 Maths periods in a row</t>
  </si>
  <si>
    <t>max_consecutive_periods (subject)</t>
  </si>
  <si>
    <t>subject, max_consecutive, class</t>
  </si>
  <si>
    <t>C050</t>
  </si>
  <si>
    <t>No double periods for a subject</t>
  </si>
  <si>
    <t>Subject never back to back (max consecutive = 1)</t>
  </si>
  <si>
    <t>Never two English periods one after another</t>
  </si>
  <si>
    <t>max_consecutive_periods (=1)</t>
  </si>
  <si>
    <t>subject, max_consecutive=1, class</t>
  </si>
  <si>
    <t>C051</t>
  </si>
  <si>
    <t>Double period required (block)</t>
  </si>
  <si>
    <t>Subject must be scheduled as 2 (or 3) consecutive periods</t>
  </si>
  <si>
    <t>Chemistry practicals need two periods together</t>
  </si>
  <si>
    <t>subject, block length, class, frequency</t>
  </si>
  <si>
    <t>C052</t>
  </si>
  <si>
    <t>Double period at most once a week</t>
  </si>
  <si>
    <t>Allow one double but not more</t>
  </si>
  <si>
    <t>Only one double Maths period per week</t>
  </si>
  <si>
    <t>subject, count</t>
  </si>
  <si>
    <t>C053</t>
  </si>
  <si>
    <t>Double period must not cross a break</t>
  </si>
  <si>
    <t>A block cannot be split by lunch/recess</t>
  </si>
  <si>
    <t>The Physics double period shouldn't be split by lunch</t>
  </si>
  <si>
    <t>subject, break</t>
  </si>
  <si>
    <t>C054</t>
  </si>
  <si>
    <t>Subject order</t>
  </si>
  <si>
    <t>Subject must not immediately follow another</t>
  </si>
  <si>
    <t>Directional: B can't come straight after A</t>
  </si>
  <si>
    <t>Maths can't come right after PE</t>
  </si>
  <si>
    <t>subject_sequence</t>
  </si>
  <si>
    <t>first_subject, second_subject, class</t>
  </si>
  <si>
    <t>C055</t>
  </si>
  <si>
    <t>Subject must immediately follow another</t>
  </si>
  <si>
    <t>Directional: B must come straight after A</t>
  </si>
  <si>
    <t>Physics practical should be right after Physics theory</t>
  </si>
  <si>
    <t>first_subject, second_subject</t>
  </si>
  <si>
    <t>C056</t>
  </si>
  <si>
    <t>Gap between two subjects</t>
  </si>
  <si>
    <t>Symmetric spacing: at least N periods between A and B</t>
  </si>
  <si>
    <t>Leave at least one period between PE and Maths</t>
  </si>
  <si>
    <t>min_gap_between_subjects</t>
  </si>
  <si>
    <t>subjects, min_gap, class</t>
  </si>
  <si>
    <t>C057</t>
  </si>
  <si>
    <t>Two subjects not back to back (either order)</t>
  </si>
  <si>
    <t>Neither order adjacent (min gap 1)</t>
  </si>
  <si>
    <t>Maths and Science should never be back to back</t>
  </si>
  <si>
    <t>min_gap_between_subjects (=1)</t>
  </si>
  <si>
    <t>subjects, min_gap=1, class</t>
  </si>
  <si>
    <t>C058</t>
  </si>
  <si>
    <t>Two subjects not on the same day</t>
  </si>
  <si>
    <t>A and B never share a day</t>
  </si>
  <si>
    <t>Keep Physics and Chemistry on different days</t>
  </si>
  <si>
    <t>subjects, class</t>
  </si>
  <si>
    <t>C059</t>
  </si>
  <si>
    <t>Two subjects on the same day</t>
  </si>
  <si>
    <t>A and B must share a day</t>
  </si>
  <si>
    <t>Physics and Physics lab should be on the same day</t>
  </si>
  <si>
    <t>C060</t>
  </si>
  <si>
    <t>Limit heavy subjects per day</t>
  </si>
  <si>
    <t>Cap number of 'heavy' subjects in one day</t>
  </si>
  <si>
    <t>No more than 3 of Maths, Science and English in a day</t>
  </si>
  <si>
    <t>subject group, max per day</t>
  </si>
  <si>
    <t>C061</t>
  </si>
  <si>
    <t>Class rules</t>
  </si>
  <si>
    <t>Class has shorter day</t>
  </si>
  <si>
    <t>A grade ends earlier / starts later</t>
  </si>
  <si>
    <t>Nursery to UKG finish after the 5th period</t>
  </si>
  <si>
    <t>class/grade, periods allowed</t>
  </si>
  <si>
    <t>C062</t>
  </si>
  <si>
    <t>Different day length on some days</t>
  </si>
  <si>
    <t>e.g. Saturday half day for some grades</t>
  </si>
  <si>
    <t>Grades 1 to 5 have only 4 periods on Saturday</t>
  </si>
  <si>
    <t>(setup: periods) / scheduling_rule</t>
  </si>
  <si>
    <t>class, day, periods</t>
  </si>
  <si>
    <t>C063</t>
  </si>
  <si>
    <t>No free periods for a class</t>
  </si>
  <si>
    <t>Every slot of a class's day must be filled</t>
  </si>
  <si>
    <t>Students should never have a free period</t>
  </si>
  <si>
    <t>class</t>
  </si>
  <si>
    <t>C064</t>
  </si>
  <si>
    <t>Class has a free/activity period at a fixed time</t>
  </si>
  <si>
    <t>Library/games/activity slot for a class</t>
  </si>
  <si>
    <t>Grade 7 gets Library on Wednesday last period</t>
  </si>
  <si>
    <t>class, subject, day, period</t>
  </si>
  <si>
    <t>C065</t>
  </si>
  <si>
    <t>Sections combined for a subject</t>
  </si>
  <si>
    <t>Two or more sections taught together</t>
  </si>
  <si>
    <t>8A and 8B have PE together</t>
  </si>
  <si>
    <t>classes, subject</t>
  </si>
  <si>
    <t>C066</t>
  </si>
  <si>
    <t>Elective / stream blocks at the same time</t>
  </si>
  <si>
    <t>Students split into options taught in parallel</t>
  </si>
  <si>
    <t>Biology and Computer Science for Grade 11 at the same time</t>
  </si>
  <si>
    <t>subjects, grade, parallel</t>
  </si>
  <si>
    <t>C067</t>
  </si>
  <si>
    <t>Second/third language groups in parallel</t>
  </si>
  <si>
    <t>Hindi/Kannada/Sanskrit/French groups run simultaneously</t>
  </si>
  <si>
    <t>Hindi, Kannada and Sanskrit for Grade 6 should happen at the same time</t>
  </si>
  <si>
    <t>language subjects, grade</t>
  </si>
  <si>
    <t>C068</t>
  </si>
  <si>
    <t>Split class into lab batches</t>
  </si>
  <si>
    <t>Class split into batches in different rooms at the same time (setup)</t>
  </si>
  <si>
    <t>Split 9A into 2 batches for Computer lab</t>
  </si>
  <si>
    <t>(setup: batches)</t>
  </si>
  <si>
    <t>subject, class, batch count</t>
  </si>
  <si>
    <t>C069</t>
  </si>
  <si>
    <t>Whole grade same subject at same time</t>
  </si>
  <si>
    <t>All sections of a grade have a subject simultaneously</t>
  </si>
  <si>
    <t>All of Grade 10 should have Maths at the same time</t>
  </si>
  <si>
    <t>grade, subject</t>
  </si>
  <si>
    <t>C070</t>
  </si>
  <si>
    <t>Zero period / extra early period</t>
  </si>
  <si>
    <t>Extra period before regular day for some grades</t>
  </si>
  <si>
    <t>Grade 12 has a zero period at 7:30 for Maths</t>
  </si>
  <si>
    <t>grade, subject, period</t>
  </si>
  <si>
    <t>C071</t>
  </si>
  <si>
    <t>Class stays in home room</t>
  </si>
  <si>
    <t>Class shouldn't move except for labs/PE</t>
  </si>
  <si>
    <t>Primary classes should stay in their own room</t>
  </si>
  <si>
    <t>C072</t>
  </si>
  <si>
    <t>Rooms &amp; resources</t>
  </si>
  <si>
    <t>Subject needs a room type</t>
  </si>
  <si>
    <t>Subject must be in a lab/computer room/ground (setup)</t>
  </si>
  <si>
    <t>Chemistry must be in the Chemistry lab</t>
  </si>
  <si>
    <t>(setup: required room type)</t>
  </si>
  <si>
    <t>subject, room type</t>
  </si>
  <si>
    <t>C073</t>
  </si>
  <si>
    <t>Room unavailable at a time</t>
  </si>
  <si>
    <t>Room blocked on certain days/periods</t>
  </si>
  <si>
    <t>The computer lab is used by the junior school on Monday mornings</t>
  </si>
  <si>
    <t>room, day, periods</t>
  </si>
  <si>
    <t>C074</t>
  </si>
  <si>
    <t>Teacher's fixed room</t>
  </si>
  <si>
    <t>Teacher always teaches in one room</t>
  </si>
  <si>
    <t>Mrs. Rao teaches only in Room 12 because of her knee</t>
  </si>
  <si>
    <t>teacher, room</t>
  </si>
  <si>
    <t>C075</t>
  </si>
  <si>
    <t>Room capacity</t>
  </si>
  <si>
    <t>Class size must fit room</t>
  </si>
  <si>
    <t>Combined PE of 8A and 8B needs the big hall</t>
  </si>
  <si>
    <t>room, capacity</t>
  </si>
  <si>
    <t>C076</t>
  </si>
  <si>
    <t>Limit classes using a shared space at once</t>
  </si>
  <si>
    <t>e.g. only 2 classes on the playground at a time</t>
  </si>
  <si>
    <t>Only two classes can have PE at the same time</t>
  </si>
  <si>
    <t>subject/room, max simultaneous</t>
  </si>
  <si>
    <t>C077</t>
  </si>
  <si>
    <t>Limited equipment</t>
  </si>
  <si>
    <t>Only one set of equipment (projector, tablets, smart class)</t>
  </si>
  <si>
    <t>Smart class room can only be used by one section at a time</t>
  </si>
  <si>
    <t>(implicit: room clash) / scheduling_rule</t>
  </si>
  <si>
    <t>resource, max simultaneous</t>
  </si>
  <si>
    <t>C078</t>
  </si>
  <si>
    <t>Minimise movement between buildings/floors</t>
  </si>
  <si>
    <t>Avoid back-to-back classes far apart for a teacher/class</t>
  </si>
  <si>
    <t>Don't make teachers run between the two blocks in consecutive periods</t>
  </si>
  <si>
    <t>teacher, rooms</t>
  </si>
  <si>
    <t>C079</t>
  </si>
  <si>
    <t>Day structure</t>
  </si>
  <si>
    <t>Number of periods per day</t>
  </si>
  <si>
    <t>How many periods the school runs (setup)</t>
  </si>
  <si>
    <t>We have 8 periods a day</t>
  </si>
  <si>
    <t>(setup: periods)</t>
  </si>
  <si>
    <t>count, days</t>
  </si>
  <si>
    <t>C080</t>
  </si>
  <si>
    <t>Break and lunch timing</t>
  </si>
  <si>
    <t>Where recess/lunch fall (setup, is_break)</t>
  </si>
  <si>
    <t>Short break after 3rd period, lunch after 5th</t>
  </si>
  <si>
    <t>(setup: periods/breaks)</t>
  </si>
  <si>
    <t>break positions</t>
  </si>
  <si>
    <t>C081</t>
  </si>
  <si>
    <t>Working days</t>
  </si>
  <si>
    <t>Which days the school runs; Saturday half day</t>
  </si>
  <si>
    <t>Second and fourth Saturdays are holidays</t>
  </si>
  <si>
    <t>(setup) / scheduling_rule</t>
  </si>
  <si>
    <t>days</t>
  </si>
  <si>
    <t>C082</t>
  </si>
  <si>
    <t>Different period lengths / timings on a day</t>
  </si>
  <si>
    <t>e.g. Friday shorter periods</t>
  </si>
  <si>
    <t>On Friday periods are 35 minutes</t>
  </si>
  <si>
    <t>day, timings</t>
  </si>
  <si>
    <t>C083</t>
  </si>
  <si>
    <t>Assembly / prayer slot</t>
  </si>
  <si>
    <t>Fixed non-teaching slot</t>
  </si>
  <si>
    <t>Assembly is 15 minutes before the first period</t>
  </si>
  <si>
    <t>(setup: break)</t>
  </si>
  <si>
    <t>day, time</t>
  </si>
  <si>
    <t>C084</t>
  </si>
  <si>
    <t>School events</t>
  </si>
  <si>
    <t>All teachers free at the same time</t>
  </si>
  <si>
    <t>Staff meeting slot</t>
  </si>
  <si>
    <t>Keep all teachers free on Saturday last period for staff meeting</t>
  </si>
  <si>
    <t>all teachers, day, period</t>
  </si>
  <si>
    <t>C085</t>
  </si>
  <si>
    <t>Department free at the same time</t>
  </si>
  <si>
    <t>Department meeting</t>
  </si>
  <si>
    <t>All Science teachers should be free on Wednesday 7th period</t>
  </si>
  <si>
    <t>teacher group, day, period</t>
  </si>
  <si>
    <t>C086</t>
  </si>
  <si>
    <t>Fixed school-wide activity</t>
  </si>
  <si>
    <t>Everyone has the same activity in a slot (yoga, clubs, SUPW)</t>
  </si>
  <si>
    <t>Clubs for all of Grades 6 to 9 on Friday last two periods</t>
  </si>
  <si>
    <t>grades, activity, day, periods</t>
  </si>
  <si>
    <t>C087</t>
  </si>
  <si>
    <t>Remedial / extra classes slot</t>
  </si>
  <si>
    <t>Reserved slots for remedial or exam prep</t>
  </si>
  <si>
    <t>Keep Tuesday 8th period for remedial classes for Grade 10</t>
  </si>
  <si>
    <t>class, day, period</t>
  </si>
  <si>
    <t>C088</t>
  </si>
  <si>
    <t>Priority &amp; strength</t>
  </si>
  <si>
    <t>Soft version of any rule</t>
  </si>
  <si>
    <t>Same rule but 'if possible' - can be broken if needed</t>
  </si>
  <si>
    <t>Try not to put Maths in the last period</t>
  </si>
  <si>
    <t>(any type) strength=soft</t>
  </si>
  <si>
    <t>strength</t>
  </si>
  <si>
    <t>C089</t>
  </si>
  <si>
    <t>Ranked priorities between rules</t>
  </si>
  <si>
    <t>Which rule wins when they conflict</t>
  </si>
  <si>
    <t>Teacher availability is more important than subject order</t>
  </si>
  <si>
    <t>-</t>
  </si>
  <si>
    <t>ranking</t>
  </si>
  <si>
    <t>C090</t>
  </si>
  <si>
    <t>Rule with an exception</t>
  </si>
  <si>
    <t>Rule applies except for a class/teacher/day</t>
  </si>
  <si>
    <t>No PE in the first period, except for Grade 12</t>
  </si>
  <si>
    <t>(type) + exception</t>
  </si>
  <si>
    <t>base rule, exception scope</t>
  </si>
  <si>
    <t>C091</t>
  </si>
  <si>
    <t>Temporary / term-limited rule</t>
  </si>
  <si>
    <t>Rule only for a date range or exam period</t>
  </si>
  <si>
    <t>During exams in March, no PE</t>
  </si>
  <si>
    <t>rule, date range</t>
  </si>
  <si>
    <t>C092</t>
  </si>
  <si>
    <t>Board norms</t>
  </si>
  <si>
    <t>Minimum periods per subject per week (board)</t>
  </si>
  <si>
    <t>CBSE/ICSE/state board minimums (setup)</t>
  </si>
  <si>
    <t>Grade 9 needs at least 6 Maths periods as per CBSE</t>
  </si>
  <si>
    <t>subject, grade, min</t>
  </si>
  <si>
    <t>C093</t>
  </si>
  <si>
    <t>Teacher load within norms</t>
  </si>
  <si>
    <t>Max periods per teacher per board/state norms</t>
  </si>
  <si>
    <t>As per norms, no teacher above 30 periods a week</t>
  </si>
  <si>
    <t>all teachers, max per week</t>
  </si>
  <si>
    <t>C094</t>
  </si>
  <si>
    <t>Edit commands</t>
  </si>
  <si>
    <t>Swap two slots</t>
  </si>
  <si>
    <t>Change to an existing timetable, not a rule</t>
  </si>
  <si>
    <t>Swap 8A's Monday 2nd and 3rd periods</t>
  </si>
  <si>
    <t>(conversational edit)</t>
  </si>
  <si>
    <t>class, slots</t>
  </si>
  <si>
    <t>C095</t>
  </si>
  <si>
    <t>Lock a slot / keep what's there</t>
  </si>
  <si>
    <t>Freeze part of a timetable before regenerating</t>
  </si>
  <si>
    <t>Keep Monday as it is and redo the rest</t>
  </si>
  <si>
    <t>(lock + regenerate)</t>
  </si>
  <si>
    <t>slots</t>
  </si>
  <si>
    <t>C096</t>
  </si>
  <si>
    <t>Substitute for an absent teacher</t>
  </si>
  <si>
    <t>Daily substitution, not a weekly rule</t>
  </si>
  <si>
    <t>Mr. Khan is absent today, who can take his classes?</t>
  </si>
  <si>
    <t>(substitutions)</t>
  </si>
  <si>
    <t>teacher, date</t>
  </si>
  <si>
    <t>C097</t>
  </si>
  <si>
    <t>Unclear input</t>
  </si>
  <si>
    <t>Vague wish</t>
  </si>
  <si>
    <t>Not specific enough to enforce</t>
  </si>
  <si>
    <t>Make the timetable balanced and nice for everyone</t>
  </si>
  <si>
    <t>ask what 'balanced' means</t>
  </si>
  <si>
    <t>C098</t>
  </si>
  <si>
    <t>Contradictory rules</t>
  </si>
  <si>
    <t>Two rules can't both hold</t>
  </si>
  <si>
    <t>Maths first period every day / No Maths in the first period on Monday</t>
  </si>
  <si>
    <t>(conflict)</t>
  </si>
  <si>
    <t>flag conflict</t>
  </si>
  <si>
    <t>C099</t>
  </si>
  <si>
    <t>Unknown name</t>
  </si>
  <si>
    <t>Refers to a teacher/subject/class that doesn't exist in setup</t>
  </si>
  <si>
    <t>Mr. Verma can't come on Tuesday (no Mr. Verma on staff)</t>
  </si>
  <si>
    <t>null name</t>
  </si>
  <si>
    <t>ask which teacher</t>
  </si>
  <si>
    <t>C100</t>
  </si>
  <si>
    <t>Question, not a rule</t>
  </si>
  <si>
    <t>Admin asks something instead of stating a rule</t>
  </si>
  <si>
    <t>Can Mrs. Rao teach 8 periods on Monday?</t>
  </si>
  <si>
    <t>(no constraint)</t>
  </si>
  <si>
    <t>answer / ask</t>
  </si>
  <si>
    <t>#</t>
  </si>
  <si>
    <t>Constraint ID</t>
  </si>
  <si>
    <t>How the admin says it</t>
  </si>
  <si>
    <t>Style</t>
  </si>
  <si>
    <t>Expected parse</t>
  </si>
  <si>
    <t>Mrs. Rao is not available on Saturday.</t>
  </si>
  <si>
    <t>Plain</t>
  </si>
  <si>
    <t>availability · teacher=Mrs. Rao · day=5 (Sat)</t>
  </si>
  <si>
    <t>Don't schedule Mrs. Rao on Saturdays.</t>
  </si>
  <si>
    <t>Negative</t>
  </si>
  <si>
    <t>Mrs. Rao doesn't come to school on Saturdays.</t>
  </si>
  <si>
    <t>Indirect</t>
  </si>
  <si>
    <t>Mrs. Rao has her PhD classes every Saturday so she won't be here.</t>
  </si>
  <si>
    <t>Reason given</t>
  </si>
  <si>
    <t>rao mam off on sat</t>
  </si>
  <si>
    <t>Informal</t>
  </si>
  <si>
    <t>Rao ma'am will not come on Saturday, kindly adjust.</t>
  </si>
  <si>
    <t>Indian English</t>
  </si>
  <si>
    <t>Rao ma'am Saturday ko nahi aayengi.</t>
  </si>
  <si>
    <t>Hinglish</t>
  </si>
  <si>
    <t>Can you make sure Mrs. Rao has no classes on Saturday?</t>
  </si>
  <si>
    <t>Question</t>
  </si>
  <si>
    <t>Mrs Rao - Sat off</t>
  </si>
  <si>
    <t>Shorthand</t>
  </si>
  <si>
    <t>Mrs Rao is not availabel on saturdy</t>
  </si>
  <si>
    <t>Typo</t>
  </si>
  <si>
    <t>I've given Mrs. Rao Saturdays off, please keep her free.</t>
  </si>
  <si>
    <t>First person</t>
  </si>
  <si>
    <t>No classes should be assigned to Mrs. Rao on Saturday.</t>
  </si>
  <si>
    <t>Passive</t>
  </si>
  <si>
    <t>Mrs. Rao must NEVER be scheduled on a Saturday.</t>
  </si>
  <si>
    <t>Strict</t>
  </si>
  <si>
    <t>If possible, keep Saturday free for Mrs. Rao. (strength=soft)</t>
  </si>
  <si>
    <t>Rao can't do Saturdays</t>
  </si>
  <si>
    <t>Title only</t>
  </si>
  <si>
    <t>Mrs. Rao unavailable Sat.</t>
  </si>
  <si>
    <t>Day abbreviation</t>
  </si>
  <si>
    <t>Mrs. Rao doesn't work weekends. (only Sat is a school day -&gt; day=5)</t>
  </si>
  <si>
    <t>Weekend phrasing</t>
  </si>
  <si>
    <t>Leave days:
- Mrs. Rao: Saturday</t>
  </si>
  <si>
    <t>List / bullet</t>
  </si>
  <si>
    <t>Mr. Khan is off on Mondays and Ms. Das is off on Wednesdays.</t>
  </si>
  <si>
    <t>Multi-rule</t>
  </si>
  <si>
    <t>availability · teacher=Mr. Khan · day=0 (Mon) AND availability · teacher=Ms. Das · day=2 (Wed)</t>
  </si>
  <si>
    <t>Off days: Khan sir - Mon, Das ma'am - Wed</t>
  </si>
  <si>
    <t>Multi-rule, list</t>
  </si>
  <si>
    <t>Arjun only comes on Monday, Wednesday and Friday.</t>
  </si>
  <si>
    <t>availability for each day NOT listed · teacher=Arjun Mehta · days=1,3,5 (Tue, Thu, Sat) unavailable</t>
  </si>
  <si>
    <t>Arjun is available Mon, Wed, Fri only.</t>
  </si>
  <si>
    <t>Positive</t>
  </si>
  <si>
    <t>arjun sir comes MWF</t>
  </si>
  <si>
    <t>Arjun won't be in on Tuesday, Thursday or Saturday.</t>
  </si>
  <si>
    <t>Arjun is a part-time coach, 3 days a week: Mon/Wed/Fri.</t>
  </si>
  <si>
    <t>Part-time</t>
  </si>
  <si>
    <t>Arjun sir sirf Monday, Wednesday aur Friday aate hain.</t>
  </si>
  <si>
    <t>Arjun comes Monday to Wednesday only. (-&gt; unavailable Thu, Fri, Sat)</t>
  </si>
  <si>
    <t>Range</t>
  </si>
  <si>
    <t>Arjun comes on alternate days starting Monday. (ambiguous - confirm Mon/Wed/Fri)</t>
  </si>
  <si>
    <t>Alternate days</t>
  </si>
  <si>
    <t>Mr. Khan can't take the first period on Tuesdays.</t>
  </si>
  <si>
    <t>scheduling_rule (not enforced) · teacher=Mr. Khan · period=1 · day=1 (Tue)</t>
  </si>
  <si>
    <t>Khan sir not available for 1st period on Tue.</t>
  </si>
  <si>
    <t>Ordinal</t>
  </si>
  <si>
    <t>Mr. Khan can never take period 1. (all days)</t>
  </si>
  <si>
    <t>Every day</t>
  </si>
  <si>
    <t>Mr. Khan can't take anything before 9 am. (map 9 am to period number)</t>
  </si>
  <si>
    <t>Time-based</t>
  </si>
  <si>
    <t>Khan - no P1 Tue</t>
  </si>
  <si>
    <t>Mr. Khan drops his kid at school so he can't take the first class on Tuesday.</t>
  </si>
  <si>
    <t>Don't give Mr. Khan the 5th period on Friday.</t>
  </si>
  <si>
    <t>Specific slot</t>
  </si>
  <si>
    <t>Priya leaves at 12:30 every day.</t>
  </si>
  <si>
    <t>scheduling_rule (not enforced) · teacher=Priya Sharma · available until 12:30 daily</t>
  </si>
  <si>
    <t>Priya is a half-day teacher, mornings only.</t>
  </si>
  <si>
    <t>Half day</t>
  </si>
  <si>
    <t>Priya can only take periods 1 to 4.</t>
  </si>
  <si>
    <t>Period-based</t>
  </si>
  <si>
    <t>Don't give Priya anything after lunch.</t>
  </si>
  <si>
    <t>Priya comes in only from 11 am.</t>
  </si>
  <si>
    <t>From time</t>
  </si>
  <si>
    <t>Priya ma'am lunch ke baad nahi rukti.</t>
  </si>
  <si>
    <t>Ms. Das comes only after the second period on Thursdays.</t>
  </si>
  <si>
    <t>Late arrival</t>
  </si>
  <si>
    <t>scheduling_rule (not enforced) · teacher=Ms. Das · Thu · periods 1-2 blocked</t>
  </si>
  <si>
    <t>Ms. Das leaves early on Fridays, after the 6th period.</t>
  </si>
  <si>
    <t>Early leave</t>
  </si>
  <si>
    <t>das mam late on thurs, dont give 1st 2 periods</t>
  </si>
  <si>
    <t>Mr. Iyer teaches at our junior branch on Tuesday and Thursday mornings.</t>
  </si>
  <si>
    <t>scheduling_rule (not enforced) · teacher=Mr. Iyer · Tue/Thu morning blocked</t>
  </si>
  <si>
    <t>Mr. Iyer is shared with the CBSE wing; he's only ours on Mon, Wed and Fri.</t>
  </si>
  <si>
    <t>Shared</t>
  </si>
  <si>
    <t>Mr. Iyer goes to the other campus after lunch every day.</t>
  </si>
  <si>
    <t>Mrs. Rao would like her classes in the morning if possible.</t>
  </si>
  <si>
    <t>scheduling_rule (not enforced) · teacher=Mrs. Rao · prefers morning · strength=soft</t>
  </si>
  <si>
    <t>Mrs. Rao prefers teaching before lunch.</t>
  </si>
  <si>
    <t>Preference</t>
  </si>
  <si>
    <t>Try to avoid giving Mrs. Rao afternoon periods.</t>
  </si>
  <si>
    <t>Negative soft</t>
  </si>
  <si>
    <t>Mr. Khan is on leave from 10 to 14 November.</t>
  </si>
  <si>
    <t>Dates</t>
  </si>
  <si>
    <t>scheduling_rule (date-based, handle as substitution)</t>
  </si>
  <si>
    <t>Mr. Khan will be on medical leave next week.</t>
  </si>
  <si>
    <t>Relative date</t>
  </si>
  <si>
    <t>Ms. Das is on maternity leave for this term, Priya will take her classes.</t>
  </si>
  <si>
    <t>Long leave</t>
  </si>
  <si>
    <t>Arjun has cricket coaching every Friday in the last two periods.</t>
  </si>
  <si>
    <t>Duty</t>
  </si>
  <si>
    <t>scheduling_rule (not enforced) · teacher=Arjun Mehta · Fri · last 2 periods blocked</t>
  </si>
  <si>
    <t>Keep Mr. Khan free on Monday 3rd period, he's exam-cell in-charge.</t>
  </si>
  <si>
    <t>Bus duty teachers (Priya, Ms. Das) need the last period free.</t>
  </si>
  <si>
    <t>Priya should not have more than 28 periods a week.</t>
  </si>
  <si>
    <t>workload_limit · teacher=Priya Sharma · max_periods_per_week=28</t>
  </si>
  <si>
    <t>Maximum 28 periods per week for Priya.</t>
  </si>
  <si>
    <t>Maximum</t>
  </si>
  <si>
    <t>Cap Priya's load at 28 periods.</t>
  </si>
  <si>
    <t>Cap</t>
  </si>
  <si>
    <t>Priya can take up to 28 classes weekly.</t>
  </si>
  <si>
    <t>Upto</t>
  </si>
  <si>
    <t>priya max 28/wk</t>
  </si>
  <si>
    <t>Priya shouldn't teach more than 28 hours a week. (periods, not clock hours - confirm)</t>
  </si>
  <si>
    <t>Hours</t>
  </si>
  <si>
    <t>Don't give Priya over 28 periods.</t>
  </si>
  <si>
    <t>Can we keep Priya under 28 periods a week?</t>
  </si>
  <si>
    <t>Priya should have less than 28 periods. (strictly less -&gt; 27; confirm)</t>
  </si>
  <si>
    <t>Off-by-one trap</t>
  </si>
  <si>
    <t>Priya: no more than twenty-eight periods a week.</t>
  </si>
  <si>
    <t>Number word</t>
  </si>
  <si>
    <t>Priya can take max 28 lectures per week.</t>
  </si>
  <si>
    <t>Lectures</t>
  </si>
  <si>
    <t>No teacher should have more than 30 periods a week.</t>
  </si>
  <si>
    <t>All teachers</t>
  </si>
  <si>
    <t>workload_limit · every teacher · max_periods_per_week=30 (one per teacher)</t>
  </si>
  <si>
    <t>All senior teachers max 32, juniors max 30. (needs teacher groups)</t>
  </si>
  <si>
    <t>Group</t>
  </si>
  <si>
    <t>Every full-time teacher must get at least 24 periods.</t>
  </si>
  <si>
    <t>scheduling_rule (not enforced) · min 24/week</t>
  </si>
  <si>
    <t>Mr. Iyer needs minimum 20 periods a week, he's paid per period.</t>
  </si>
  <si>
    <t>Minimum</t>
  </si>
  <si>
    <t>Don't give Ms. Das fewer than 18 periods.</t>
  </si>
  <si>
    <t>No teacher should teach more than 6 periods in a day.</t>
  </si>
  <si>
    <t>scheduling_rule (not enforced) · max per day</t>
  </si>
  <si>
    <t>Mrs. Rao max 5 periods per day.</t>
  </si>
  <si>
    <t>Specific</t>
  </si>
  <si>
    <t>not more than 6 classes a day for anyone pls</t>
  </si>
  <si>
    <t>Kisi bhi teacher ko ek din mein 6 se zyada period mat dena.</t>
  </si>
  <si>
    <t>If Ms. Das comes in, give her at least 3 periods that day.</t>
  </si>
  <si>
    <t>scheduling_rule (not enforced) · min per day</t>
  </si>
  <si>
    <t>Don't call a teacher in for just one period.</t>
  </si>
  <si>
    <t>Mrs. Rao can't take more than 3 classes in a row.</t>
  </si>
  <si>
    <t>max_consecutive_periods · teacher=Mrs. Rao · max_consecutive=3</t>
  </si>
  <si>
    <t>Max 3 back-to-back periods for Mrs. Rao.</t>
  </si>
  <si>
    <t>Back to back</t>
  </si>
  <si>
    <t>Mrs. Rao shouldn't teach more than 3 continuous periods.</t>
  </si>
  <si>
    <t>Continuous</t>
  </si>
  <si>
    <t>Mrs. Rao needs a break after every 3 periods.</t>
  </si>
  <si>
    <t>Break needed</t>
  </si>
  <si>
    <t>rao mam - max 3 at a stretch</t>
  </si>
  <si>
    <t>Rao ma'am ko lagatar 3 se zyada period mat do.</t>
  </si>
  <si>
    <t>Don't give Mrs. Rao 4 periods one after the other. (-&gt; max 3)</t>
  </si>
  <si>
    <t>Mrs. Rao can't stand for more than 3 periods at a stretch because of her knee.</t>
  </si>
  <si>
    <t>Stretch</t>
  </si>
  <si>
    <t>No teacher should have more than two consecutive periods.</t>
  </si>
  <si>
    <t>max_consecutive_periods · every teacher · max_consecutive=2</t>
  </si>
  <si>
    <t>Every teacher must get a free period after 2 continuous classes.</t>
  </si>
  <si>
    <t>Every teacher needs at least one free period each day.</t>
  </si>
  <si>
    <t>scheduling_rule (not enforced) · min 1 free period/day</t>
  </si>
  <si>
    <t>Give English teachers 2 free periods daily for correction.</t>
  </si>
  <si>
    <t>Correction time</t>
  </si>
  <si>
    <t>everyone shud get atleast 1 free period</t>
  </si>
  <si>
    <t>Spread Mr. Khan's classes evenly through the week.</t>
  </si>
  <si>
    <t>scheduling_rule (not enforced) · balance</t>
  </si>
  <si>
    <t>Don't load Monday with all of Priya's periods.</t>
  </si>
  <si>
    <t>Don't leave teachers with 3 free periods in the middle of the day.</t>
  </si>
  <si>
    <t>scheduling_rule (not enforced) · max idle gap</t>
  </si>
  <si>
    <t>Teachers' free periods should not be scattered; keep their day compact.</t>
  </si>
  <si>
    <t>Compact</t>
  </si>
  <si>
    <t>Try to give part-time teachers all their classes in 3 days.</t>
  </si>
  <si>
    <t>scheduling_rule (not enforced) · compact days</t>
  </si>
  <si>
    <t>Keep Mrs. Rao free in the period before lunch.</t>
  </si>
  <si>
    <t>scheduling_rule (not enforced) · teacher free slot</t>
  </si>
  <si>
    <t>Mr. Khan must be free on Wednesday 4th period for the lab setup.</t>
  </si>
  <si>
    <t>A teacher shouldn't take more than 4 different sections in one day.</t>
  </si>
  <si>
    <t>scheduling_rule (not enforced)</t>
  </si>
  <si>
    <t>Don't give the same teacher the last period every day.</t>
  </si>
  <si>
    <t>Share the last periods fairly among all teachers.</t>
  </si>
  <si>
    <t>Fairness</t>
  </si>
  <si>
    <t>Mrs. Rao teaches Maths to 8A and 8B.</t>
  </si>
  <si>
    <t>(setup data) subject requirement · Maths · 8A, 8B · Mrs. Rao</t>
  </si>
  <si>
    <t>Give 10th Science to Mr. Khan.</t>
  </si>
  <si>
    <t>Assignment</t>
  </si>
  <si>
    <t>Class 7 ka English Priya ma'am lengi.</t>
  </si>
  <si>
    <t>Mr. Khan should not be given 10B.</t>
  </si>
  <si>
    <t>scheduling_rule (not enforced) · teacher not for class</t>
  </si>
  <si>
    <t>Don't assign Priya to her own son's class, 6C.</t>
  </si>
  <si>
    <t>Class teachers must take the first period in their own class every day.</t>
  </si>
  <si>
    <t>scheduling_rule (not enforced) · class teacher period 1</t>
  </si>
  <si>
    <t>First period is class teacher period.</t>
  </si>
  <si>
    <t>Priya is class teacher of 5A so she takes 5A's 1st period daily.</t>
  </si>
  <si>
    <t>CT period = P1 for all</t>
  </si>
  <si>
    <t>The same teacher should take Science for all of Grade 9.</t>
  </si>
  <si>
    <t>(setup data)</t>
  </si>
  <si>
    <t>Ms. Das should assist in Grade 1A's English periods.</t>
  </si>
  <si>
    <t>(setup data: assistant teacher)</t>
  </si>
  <si>
    <t>The special educator must be in 3B during Maths.</t>
  </si>
  <si>
    <t>Special educator</t>
  </si>
  <si>
    <t>Priya only teaches primary classes (1 to 5).</t>
  </si>
  <si>
    <t>Mr. Iyer shouldn't teach below Grade 8.</t>
  </si>
  <si>
    <t>Keep the same Maths teacher for 10A as last year.</t>
  </si>
  <si>
    <t>Maths should always be the first period for Grade 10.</t>
  </si>
  <si>
    <t>subject_period_position · subject=Maths · position=first · mode=require · class=Grade 10</t>
  </si>
  <si>
    <t>Grade 10: Maths in 1st period.</t>
  </si>
  <si>
    <t>Grade 10 should start the day with Maths.</t>
  </si>
  <si>
    <t>Start of day</t>
  </si>
  <si>
    <t>First thing in the morning, Grade 10 should have Maths.</t>
  </si>
  <si>
    <t>Morning first</t>
  </si>
  <si>
    <t>Class X - first period Maths.</t>
  </si>
  <si>
    <t>Roman numeral</t>
  </si>
  <si>
    <t>10th std first period should be Maths daily.</t>
  </si>
  <si>
    <t>Std wording</t>
  </si>
  <si>
    <t>Gr10 P1 = Maths</t>
  </si>
  <si>
    <t>10th class ka pehla period Maths hona chahiye.</t>
  </si>
  <si>
    <t>Try to keep Maths first for Grade 10. (strength=soft)</t>
  </si>
  <si>
    <t>10A should have Maths first period. (class=Grade 10 - A)</t>
  </si>
  <si>
    <t>Section scope</t>
  </si>
  <si>
    <t>Every class should have Maths in the first period. (class=null)</t>
  </si>
  <si>
    <t>School-wide</t>
  </si>
  <si>
    <t>Keep Library for the last period.</t>
  </si>
  <si>
    <t>subject_period_position · subject=Library · position=last · mode=require</t>
  </si>
  <si>
    <t>Library should be at the end of the day.</t>
  </si>
  <si>
    <t>End of day</t>
  </si>
  <si>
    <t>Library in the final period please.</t>
  </si>
  <si>
    <t>Final</t>
  </si>
  <si>
    <t>library last</t>
  </si>
  <si>
    <t>Library in the 8th period. (last only if the day has 8 periods - confirm)</t>
  </si>
  <si>
    <t>Ordinal trap</t>
  </si>
  <si>
    <t>Don't put PE in the first period.</t>
  </si>
  <si>
    <t>subject_period_position · subject=PE · position=first · mode=exclude</t>
  </si>
  <si>
    <t>PE should never be the first period.</t>
  </si>
  <si>
    <t>Never</t>
  </si>
  <si>
    <t>Students shouldn't start the day with PE.</t>
  </si>
  <si>
    <t>Not start</t>
  </si>
  <si>
    <t>The ground is wet early morning, so no PE first period.</t>
  </si>
  <si>
    <t>PE pehle period mein mat rakhna.</t>
  </si>
  <si>
    <t>No PE in P1</t>
  </si>
  <si>
    <t>No games/sports/physical education in the first period. (map to PE)</t>
  </si>
  <si>
    <t>Synonyms</t>
  </si>
  <si>
    <t>No PE first period except for Grade 12. (needs exception handling)</t>
  </si>
  <si>
    <t>Exception</t>
  </si>
  <si>
    <t>Avoid PE in the first period if you can. (strength=soft)</t>
  </si>
  <si>
    <t>No Maths in the last period for primary.</t>
  </si>
  <si>
    <t>subject_period_position · subject=Maths · position=last · mode=exclude · class=primary grades</t>
  </si>
  <si>
    <t>Kids are tired at the end of the day, don't keep Maths last.</t>
  </si>
  <si>
    <t>Tired</t>
  </si>
  <si>
    <t>Maths must not be the final period.</t>
  </si>
  <si>
    <t>maths last period - NO</t>
  </si>
  <si>
    <t>No Maths last period for classes 1 to 5. (one constraint per grade)</t>
  </si>
  <si>
    <t>Group scope</t>
  </si>
  <si>
    <t>Hindi should be in the 2nd period.</t>
  </si>
  <si>
    <t>scheduling_rule (not enforced) · subject=Hindi · period=2</t>
  </si>
  <si>
    <t>Hindi at 9:40 every day.</t>
  </si>
  <si>
    <t>Don't put Sanskrit in the 4th period.</t>
  </si>
  <si>
    <t>Keep Art in the middle of the day.</t>
  </si>
  <si>
    <t>Middle</t>
  </si>
  <si>
    <t>Maths and Science only before lunch.</t>
  </si>
  <si>
    <t>scheduling_rule (not enforced) · before break</t>
  </si>
  <si>
    <t>Core subjects in the morning.</t>
  </si>
  <si>
    <t>Morning</t>
  </si>
  <si>
    <t>Maths classes should finish before 11 am.</t>
  </si>
  <si>
    <t>Time</t>
  </si>
  <si>
    <t>Maths subah hi rakhna.</t>
  </si>
  <si>
    <t>Art and Music can be after lunch.</t>
  </si>
  <si>
    <t>scheduling_rule (not enforced) · after break</t>
  </si>
  <si>
    <t>Keep the activity periods in the afternoon.</t>
  </si>
  <si>
    <t>Afternoon</t>
  </si>
  <si>
    <t>No PE right after lunch.</t>
  </si>
  <si>
    <t>scheduling_rule (not enforced) · not right after lunch</t>
  </si>
  <si>
    <t>Children just ate, so no games immediately after lunch break.</t>
  </si>
  <si>
    <t>PE not just after lunch</t>
  </si>
  <si>
    <t>Lunch ke turant baad PE nahi.</t>
  </si>
  <si>
    <t>Don't keep Maths just before lunch.</t>
  </si>
  <si>
    <t>Avoid tests in the period before short break.</t>
  </si>
  <si>
    <t>Recess</t>
  </si>
  <si>
    <t>Grade 1 should have English in the same period every day.</t>
  </si>
  <si>
    <t>Little ones need routine - same time slot for Maths daily.</t>
  </si>
  <si>
    <t>Routine</t>
  </si>
  <si>
    <t>Core subjects should be in the first four periods.</t>
  </si>
  <si>
    <t>Put Maths, Science and English before the co-scholastic subjects.</t>
  </si>
  <si>
    <t>Priority</t>
  </si>
  <si>
    <t>Grade 6 must have Computer Science on Monday.</t>
  </si>
  <si>
    <t>subject_day_position · subject=Computer Science · day=0 (Mon) · mode=require · class=Grade 6</t>
  </si>
  <si>
    <t>Computer Science for Grade 6 should be on Mondays.</t>
  </si>
  <si>
    <t>6th std comp on monday</t>
  </si>
  <si>
    <t>Gr 6 - CS on Mon. (CS = Computer Science, not Social Studies - confirm)</t>
  </si>
  <si>
    <t>Abbreviation</t>
  </si>
  <si>
    <t>6th class ka computer Monday ko rakho.</t>
  </si>
  <si>
    <t>No PE on Fridays.</t>
  </si>
  <si>
    <t>subject_day_position · subject=PE · day=4 (Fri) · mode=exclude</t>
  </si>
  <si>
    <t>PE should not be scheduled on Friday.</t>
  </si>
  <si>
    <t>The ground is used for assembly practice on Fridays, so no PE that day.</t>
  </si>
  <si>
    <t>no games fri</t>
  </si>
  <si>
    <t>Friday ko PE mat rakhna.</t>
  </si>
  <si>
    <t>Grade 3 shouldn't have PE on Friday. (class=Grade 3)</t>
  </si>
  <si>
    <t>Scoped</t>
  </si>
  <si>
    <t>No PE on Friday or Saturday. (two constraints)</t>
  </si>
  <si>
    <t>Plural days</t>
  </si>
  <si>
    <t>No PE on fridya</t>
  </si>
  <si>
    <t>Preferably no PE on Friday. (strength=soft)</t>
  </si>
  <si>
    <t>Is it possible to have no PE on Fridays?</t>
  </si>
  <si>
    <t>Music only on Tuesdays and Thursdays.</t>
  </si>
  <si>
    <t>subject_day_position (exclude) on each day NOT listed · subject=Music</t>
  </si>
  <si>
    <t>Music is on Tue and Thu.</t>
  </si>
  <si>
    <t>music - tue/thu only</t>
  </si>
  <si>
    <t>The music teacher only comes Tuesday and Thursday, so Music has to be on those days. (can be modelled as teacher availability)</t>
  </si>
  <si>
    <t>Visiting teacher</t>
  </si>
  <si>
    <t>Maths not more than twice a day.</t>
  </si>
  <si>
    <t>max_subject_periods_per_day · subject=Maths · max_per_day=2</t>
  </si>
  <si>
    <t>Maximum 2 Maths periods per day.</t>
  </si>
  <si>
    <t>Don't give any class Maths 3 times in one day.</t>
  </si>
  <si>
    <t>maths max 2/day</t>
  </si>
  <si>
    <t>Ek din mein 2 se zyada Maths nahi.</t>
  </si>
  <si>
    <t>Maths twice a week. (this is periods/week setup data, NOT max per day)</t>
  </si>
  <si>
    <t>Trap: week vs day</t>
  </si>
  <si>
    <t>Both PE periods can't be on the same day.</t>
  </si>
  <si>
    <t>max_subject_periods_per_day · subject=PE · max_per_day=1</t>
  </si>
  <si>
    <t>PE at most once a day.</t>
  </si>
  <si>
    <t>Once a day</t>
  </si>
  <si>
    <t>Don't club the two Art periods on one day.</t>
  </si>
  <si>
    <t>Spread</t>
  </si>
  <si>
    <t>A subject shouldn't repeat in the same day.</t>
  </si>
  <si>
    <t>Repeat</t>
  </si>
  <si>
    <t>no subject twice in a day pls</t>
  </si>
  <si>
    <t>Ek hi din mein same subject do baar nahi.</t>
  </si>
  <si>
    <t>No subject should come twice in one day for any class. (one per subject)</t>
  </si>
  <si>
    <t>Every subject</t>
  </si>
  <si>
    <t>English every day for primary.</t>
  </si>
  <si>
    <t>scheduling_rule (not enforced) · daily subject</t>
  </si>
  <si>
    <t>Maths daily for all classes.</t>
  </si>
  <si>
    <t>Daily</t>
  </si>
  <si>
    <t>Maths roz hona chahiye.</t>
  </si>
  <si>
    <t>PE shouldn't be on two days in a row.</t>
  </si>
  <si>
    <t>Keep Art on alternate days.</t>
  </si>
  <si>
    <t>Alternate</t>
  </si>
  <si>
    <t>Spread Science periods through the week.</t>
  </si>
  <si>
    <t>Don't bunch all the Hindi periods at the start of the week.</t>
  </si>
  <si>
    <t>Grade 8 gets 7 Maths periods a week.</t>
  </si>
  <si>
    <t>(setup data) Maths · Grade 8 · 7/week</t>
  </si>
  <si>
    <t>Maths 6 times a week for 9th.</t>
  </si>
  <si>
    <t>Per week</t>
  </si>
  <si>
    <t>Maths twice a day. (NOT per week - this is max per day)</t>
  </si>
  <si>
    <t>Trap</t>
  </si>
  <si>
    <t>Not more than 2 Maths periods in a row.</t>
  </si>
  <si>
    <t>max_consecutive_periods · subject=Maths · max_consecutive=2</t>
  </si>
  <si>
    <t>Max two back-to-back Maths periods.</t>
  </si>
  <si>
    <t>Maths shouldn't run for more than 2 continuous periods.</t>
  </si>
  <si>
    <t>max 2 maths together</t>
  </si>
  <si>
    <t>Lagatar 2 se zyada Maths nahi.</t>
  </si>
  <si>
    <t>Never two English periods one after another.</t>
  </si>
  <si>
    <t>max_consecutive_periods · subject=English · max_consecutive=1</t>
  </si>
  <si>
    <t>No double periods for English.</t>
  </si>
  <si>
    <t>No doubles</t>
  </si>
  <si>
    <t>English shouldn't be back to back.</t>
  </si>
  <si>
    <t>No back-to-back English and Maths. (two DIFFERENT subjects -&gt; min_gap_between_subjects, not this)</t>
  </si>
  <si>
    <t>Chemistry practicals need two periods together.</t>
  </si>
  <si>
    <t>scheduling_rule (not enforced) · double period</t>
  </si>
  <si>
    <t>Give Grade 11 one double period of Physics lab every week.</t>
  </si>
  <si>
    <t>Double</t>
  </si>
  <si>
    <t>Art needs a block of 2 periods.</t>
  </si>
  <si>
    <t>Block</t>
  </si>
  <si>
    <t>Lab ke liye 2 period saath mein chahiye.</t>
  </si>
  <si>
    <t>Practicals should be clubbed periods.</t>
  </si>
  <si>
    <t>Only one double Maths period per week.</t>
  </si>
  <si>
    <t>The Physics double period shouldn't be split by lunch.</t>
  </si>
  <si>
    <t>Maths can't come right after PE.</t>
  </si>
  <si>
    <t>subject_sequence · first=PE · second=Maths</t>
  </si>
  <si>
    <t>Maths should not immediately follow PE.</t>
  </si>
  <si>
    <t>Follow</t>
  </si>
  <si>
    <t>No Maths just after games.</t>
  </si>
  <si>
    <t>After</t>
  </si>
  <si>
    <t>Kids are sweaty and tired after PE so don't put Maths straight after it.</t>
  </si>
  <si>
    <t>PE then maths - no</t>
  </si>
  <si>
    <t>PE ke baad turant Maths mat rakhna.</t>
  </si>
  <si>
    <t>PE -&gt; Maths not allowed.</t>
  </si>
  <si>
    <t>Arrow</t>
  </si>
  <si>
    <t>For Grade 4, English shouldn't come immediately after PE.</t>
  </si>
  <si>
    <t>Don't have PE right before Maths. (same rule: first=PE, second=Maths)</t>
  </si>
  <si>
    <t>Trap: reverse wording</t>
  </si>
  <si>
    <t>Maths and PE shouldn't be next to each other. (either order -&gt; min_gap_between_subjects)</t>
  </si>
  <si>
    <t>Trap: symmetric</t>
  </si>
  <si>
    <t>Physics practical should be right after Physics theory.</t>
  </si>
  <si>
    <t>Computer lab should follow the Computer theory class.</t>
  </si>
  <si>
    <t>Leave at least one period between PE and Maths.</t>
  </si>
  <si>
    <t>min_gap_between_subjects · PE, Maths · min_gap=1</t>
  </si>
  <si>
    <t>Keep a gap of one period between Science and Maths.</t>
  </si>
  <si>
    <t>Gap</t>
  </si>
  <si>
    <t>There should be at least 2 periods between the two Maths periods on the same day. (same subject twice - confirm)</t>
  </si>
  <si>
    <t>Two periods</t>
  </si>
  <si>
    <t>PE aur Maths ke beech ek period ka gap rakho.</t>
  </si>
  <si>
    <t>Maths and Science should never be back to back.</t>
  </si>
  <si>
    <t>min_gap_between_subjects · Maths, Science · min_gap=1</t>
  </si>
  <si>
    <t>Don't put Maths next to Science.</t>
  </si>
  <si>
    <t>Adjacent</t>
  </si>
  <si>
    <t>Maths and Science shouldn't be together. (next to each other? same day? confirm)</t>
  </si>
  <si>
    <t>Together trap</t>
  </si>
  <si>
    <t>Keep Physics and Chemistry on different days.</t>
  </si>
  <si>
    <t>Hindi and Sanskrit shouldn't be on the same day.</t>
  </si>
  <si>
    <t>Physics and Physics lab should be on the same day.</t>
  </si>
  <si>
    <t>No more than 3 of Maths, Science and English in a day.</t>
  </si>
  <si>
    <t>Don't overload one day with all the heavy subjects.</t>
  </si>
  <si>
    <t>Heavy</t>
  </si>
  <si>
    <t>Nursery to UKG finish after the 5th period.</t>
  </si>
  <si>
    <t>scheduling_rule (not enforced) · early dismissal</t>
  </si>
  <si>
    <t>Pre-primary goes home at 12:30.</t>
  </si>
  <si>
    <t>Chhote bachche 12 baje chhutte hain.</t>
  </si>
  <si>
    <t>Grades 1 to 5 have only 4 periods on Saturday.</t>
  </si>
  <si>
    <t>(setup: periods) or scheduling_rule</t>
  </si>
  <si>
    <t>Saturday is a half day for everyone.</t>
  </si>
  <si>
    <t>Students should never have a free period.</t>
  </si>
  <si>
    <t>No class should be left without a teacher in any period.</t>
  </si>
  <si>
    <t>Grade 7 gets Library on Wednesday last period.</t>
  </si>
  <si>
    <t>Keep Friday 6th period as Games for all of Grade 5.</t>
  </si>
  <si>
    <t>Fixed</t>
  </si>
  <si>
    <t>8A and 8B have PE together.</t>
  </si>
  <si>
    <t>Combine all Grade 9 sections for Value Education.</t>
  </si>
  <si>
    <t>Combined</t>
  </si>
  <si>
    <t>8A aur 8B ka PE saath mein.</t>
  </si>
  <si>
    <t>Biology and Computer Science for Grade 11 at the same time.</t>
  </si>
  <si>
    <t>Grade 11 PCMB and PCMC students split for the 4th subject in the same slot.</t>
  </si>
  <si>
    <t>Streams</t>
  </si>
  <si>
    <t>Electives for Grade 11 should run in parallel.</t>
  </si>
  <si>
    <t>Electives</t>
  </si>
  <si>
    <t>Hindi, Kannada and Sanskrit for Grade 6 should happen at the same time.</t>
  </si>
  <si>
    <t>Second language periods must be at the same time across sections.</t>
  </si>
  <si>
    <t>Second language</t>
  </si>
  <si>
    <t>Third language groups are mixed across 7A, 7B and 7C.</t>
  </si>
  <si>
    <t>Third language</t>
  </si>
  <si>
    <t>Split 9A into 2 batches for Computer lab.</t>
  </si>
  <si>
    <t>(setup data: batches)</t>
  </si>
  <si>
    <t>Chemistry practical is in 3 groups of 15.</t>
  </si>
  <si>
    <t>Groups</t>
  </si>
  <si>
    <t>All of Grade 10 should have Maths at the same time.</t>
  </si>
  <si>
    <t>Grade 12 has a zero period at 7:30 for Maths.</t>
  </si>
  <si>
    <t>Primary classes should stay in their own room.</t>
  </si>
  <si>
    <t>Chemistry must be in the Chemistry lab.</t>
  </si>
  <si>
    <t>(setup data: room type)</t>
  </si>
  <si>
    <t>PE happens on the ground.</t>
  </si>
  <si>
    <t>Ground</t>
  </si>
  <si>
    <t>Computer classes need the computer lab.</t>
  </si>
  <si>
    <t>Computer</t>
  </si>
  <si>
    <t>The computer lab is used by the junior school on Monday mornings.</t>
  </si>
  <si>
    <t>The auditorium is not available on Friday afternoons.</t>
  </si>
  <si>
    <t>Maintenance</t>
  </si>
  <si>
    <t>Mrs. Rao teaches only in Room 12 because of her knee.</t>
  </si>
  <si>
    <t>Keep Mr. Khan's classes on the ground floor.</t>
  </si>
  <si>
    <t>Ground floor</t>
  </si>
  <si>
    <t>Combined PE of 8A and 8B needs the big hall.</t>
  </si>
  <si>
    <t>Only two classes can have PE at the same time.</t>
  </si>
  <si>
    <t>The ground can take a maximum of 3 sections at once.</t>
  </si>
  <si>
    <t>Ek time pe sirf 2 class ka PE ho sakta hai.</t>
  </si>
  <si>
    <t>Smart class room can only be used by one section at a time.</t>
  </si>
  <si>
    <t>(implicit room clash) / scheduling_rule</t>
  </si>
  <si>
    <t>We have only one projector, so only one class can have the projector period at a time.</t>
  </si>
  <si>
    <t>Equipment</t>
  </si>
  <si>
    <t>Don't make teachers run between the two blocks in consecutive periods.</t>
  </si>
  <si>
    <t>We have 8 periods a day.</t>
  </si>
  <si>
    <t>School is from 8:00 to 2:30 with 40-minute periods.</t>
  </si>
  <si>
    <t>Timings</t>
  </si>
  <si>
    <t>Short break after 3rd period, lunch after 5th.</t>
  </si>
  <si>
    <t>Teesre period ke baad recess.</t>
  </si>
  <si>
    <t>Second and fourth Saturdays are holidays.</t>
  </si>
  <si>
    <t>We are a five-day school.</t>
  </si>
  <si>
    <t>Five day</t>
  </si>
  <si>
    <t>On Friday periods are 35 minutes.</t>
  </si>
  <si>
    <t>Assembly is 15 minutes before the first period.</t>
  </si>
  <si>
    <t>Friday has a special prayer slot after lunch.</t>
  </si>
  <si>
    <t>Prayer</t>
  </si>
  <si>
    <t>Keep all teachers free on Saturday last period for staff meeting.</t>
  </si>
  <si>
    <t>We have staff meeting every Wednesday 8th period.</t>
  </si>
  <si>
    <t>All Science teachers should be free on Wednesday 7th period.</t>
  </si>
  <si>
    <t>Language department meeting is on Monday 6th period.</t>
  </si>
  <si>
    <t>Department</t>
  </si>
  <si>
    <t>Clubs for all of Grades 6 to 9 on Friday last two periods.</t>
  </si>
  <si>
    <t>Yoga for the whole school on Tuesday first period.</t>
  </si>
  <si>
    <t>Yoga</t>
  </si>
  <si>
    <t>SUPW for Grade 9 is on Thursday 7th and 8th.</t>
  </si>
  <si>
    <t>SUPW</t>
  </si>
  <si>
    <t>Keep Tuesday 8th period for remedial classes for Grade 10.</t>
  </si>
  <si>
    <t>Try not to put Maths in the last period.</t>
  </si>
  <si>
    <t>Preferably, English should be in the morning.</t>
  </si>
  <si>
    <t>Preferably</t>
  </si>
  <si>
    <t>Ideally no teacher gets more than 5 periods a day.</t>
  </si>
  <si>
    <t>Ideally</t>
  </si>
  <si>
    <t>If possible, keep Fridays light for Grade 1.</t>
  </si>
  <si>
    <t>If possible</t>
  </si>
  <si>
    <t>It would be nice if PE isn't right after lunch.</t>
  </si>
  <si>
    <t>Would be nice</t>
  </si>
  <si>
    <t>Maths must NEVER be the last period. (strength=hard)</t>
  </si>
  <si>
    <t>Hard contrast</t>
  </si>
  <si>
    <t>Teacher availability is more important than subject order.</t>
  </si>
  <si>
    <t>If you can't satisfy everything, drop the Library rule first.</t>
  </si>
  <si>
    <t>No PE in the first period, except for Grade 12.</t>
  </si>
  <si>
    <t>All teachers max 30 periods, but Priya can take 32.</t>
  </si>
  <si>
    <t>No Maths last period except on Saturday.</t>
  </si>
  <si>
    <t>During exams in March, no PE.</t>
  </si>
  <si>
    <t>Temporary</t>
  </si>
  <si>
    <t>For this term only, Mr. Khan can't take Monday mornings.</t>
  </si>
  <si>
    <t>This term</t>
  </si>
  <si>
    <t>Grade 9 needs at least 6 Maths periods as per CBSE.</t>
  </si>
  <si>
    <t>As per norms, no teacher above 30 periods a week.</t>
  </si>
  <si>
    <t>Norms</t>
  </si>
  <si>
    <t>workload_limit · every teacher · max_periods_per_week=30</t>
  </si>
  <si>
    <t>Swap 8A's Monday 2nd and 3rd periods.</t>
  </si>
  <si>
    <t>Move Priya's Tuesday class to Thursday.</t>
  </si>
  <si>
    <t>Move</t>
  </si>
  <si>
    <t>Keep Monday as it is and redo the rest.</t>
  </si>
  <si>
    <t>Don't touch Grade 10's timetable, change the others.</t>
  </si>
  <si>
    <t>Lock</t>
  </si>
  <si>
    <t>Make the timetable balanced and nice for everyone.</t>
  </si>
  <si>
    <t>Vague</t>
  </si>
  <si>
    <t>ask what they mean</t>
  </si>
  <si>
    <t>Teachers should be happy.</t>
  </si>
  <si>
    <t>Kids shouldn't get bored.</t>
  </si>
  <si>
    <t>Maths first period every day. / No Maths in the first period on Monday.</t>
  </si>
  <si>
    <t>Contradiction</t>
  </si>
  <si>
    <t>Mrs. Rao teaches 35 periods but her max is 28.</t>
  </si>
  <si>
    <t>Impossible</t>
  </si>
  <si>
    <t>Mr. Verma can't come on Tuesday. (no Mr. Verma on staff)</t>
  </si>
  <si>
    <t>null name -&gt; ask</t>
  </si>
  <si>
    <t>KS sir off on Friday. (initials - which teacher?)</t>
  </si>
  <si>
    <t>Nickname</t>
  </si>
  <si>
    <t>The Hindi teacher is off on Monday. (resolve role -&gt; teacher)</t>
  </si>
  <si>
    <t>Role</t>
  </si>
  <si>
    <t>no constraint</t>
  </si>
  <si>
    <t>Why is 8A's Maths always in the last period?</t>
  </si>
  <si>
    <t>Dimension</t>
  </si>
  <si>
    <t>What varies</t>
  </si>
  <si>
    <t>Example (base rule: no PE first period for Grade 3)</t>
  </si>
  <si>
    <t>What the parser must do</t>
  </si>
  <si>
    <t>Negative command</t>
  </si>
  <si>
    <t>Rule stated as a prohibition</t>
  </si>
  <si>
    <t>Don't put PE in the first period for Grade 3.</t>
  </si>
  <si>
    <t>mode=exclude</t>
  </si>
  <si>
    <t>Positive requirement</t>
  </si>
  <si>
    <t>Rule stated as what must happen</t>
  </si>
  <si>
    <t>Grade 3's first period must be something other than PE.</t>
  </si>
  <si>
    <t>Recognise it's still an exclude</t>
  </si>
  <si>
    <t>Strength words - hard</t>
  </si>
  <si>
    <t>must, never, always, strictly, not allowed, compulsory, mandatory</t>
  </si>
  <si>
    <t>PE must never be first period for Grade 3.</t>
  </si>
  <si>
    <t>strength=hard</t>
  </si>
  <si>
    <t>Strength words - soft</t>
  </si>
  <si>
    <t>try, ideally, preferably, if possible, would be nice, avoid, as far as possible</t>
  </si>
  <si>
    <t>As far as possible avoid PE first period for Grade 3.</t>
  </si>
  <si>
    <t>strength=soft</t>
  </si>
  <si>
    <t>Question form</t>
  </si>
  <si>
    <t>Rule hidden inside a request</t>
  </si>
  <si>
    <t>Can you make sure Grade 3 doesn't get PE first thing?</t>
  </si>
  <si>
    <t>Still a constraint, not a question</t>
  </si>
  <si>
    <t>Passive voice</t>
  </si>
  <si>
    <t>No actor</t>
  </si>
  <si>
    <t>PE is not to be scheduled in period 1 for Grade 3.</t>
  </si>
  <si>
    <t>Same parse</t>
  </si>
  <si>
    <t>Admin speaks as I/we</t>
  </si>
  <si>
    <t>I don't want Grade 3 doing PE first period.</t>
  </si>
  <si>
    <t>Reason attached</t>
  </si>
  <si>
    <t>Justification before or after the rule</t>
  </si>
  <si>
    <t>The ground is wet in the morning, so Grade 3 can't have PE first.</t>
  </si>
  <si>
    <t>Ignore the reason, keep the rule</t>
  </si>
  <si>
    <t>Story / indirect</t>
  </si>
  <si>
    <t>Rule implied by a fact</t>
  </si>
  <si>
    <t>Grade 3's PE teacher only arrives after 9.</t>
  </si>
  <si>
    <t>Infer rule or map to teacher availability; confirm</t>
  </si>
  <si>
    <t>Conditional</t>
  </si>
  <si>
    <t>If/when/unless</t>
  </si>
  <si>
    <t>If it rains, PE moves indoors. / Unless it's Saturday, no PE first period.</t>
  </si>
  <si>
    <t>Conditions outside the weekly pattern -&gt; note; 'unless day' -&gt; exception</t>
  </si>
  <si>
    <t>except, other than, apart from, but not</t>
  </si>
  <si>
    <t>No PE first period for any class except Grade 12.</t>
  </si>
  <si>
    <t>Base rule + exclusion scope</t>
  </si>
  <si>
    <t>Scope: school-wide</t>
  </si>
  <si>
    <t>No class named</t>
  </si>
  <si>
    <t>No PE in the first period.</t>
  </si>
  <si>
    <t>class=null</t>
  </si>
  <si>
    <t>Scope: grade</t>
  </si>
  <si>
    <t>Whole grade</t>
  </si>
  <si>
    <t>No PE first period for Grade 3.</t>
  </si>
  <si>
    <t>class=Grade 3</t>
  </si>
  <si>
    <t>Scope: section</t>
  </si>
  <si>
    <t>One section</t>
  </si>
  <si>
    <t>3B shouldn't have PE first.</t>
  </si>
  <si>
    <t>class=Grade 3 - B</t>
  </si>
  <si>
    <t>Scope: group of grades</t>
  </si>
  <si>
    <t>primary, juniors, seniors, middle school, pre-primary, KG, 1-5, classes 6 to 8</t>
  </si>
  <si>
    <t>No PE first period for the primary section.</t>
  </si>
  <si>
    <t>Expand to each grade (needs a mapping)</t>
  </si>
  <si>
    <t>Class name formats</t>
  </si>
  <si>
    <t>Grade 3, Class 3, 3rd std, Std III, III-B, 3-B, 3B, Gr3B, third standard, 3rd class</t>
  </si>
  <si>
    <t>III-B no PE P1</t>
  </si>
  <si>
    <t>Normalise to the school's class labels</t>
  </si>
  <si>
    <t>Period formats</t>
  </si>
  <si>
    <t>first period, 1st, period 1, P1, first hour, first lecture, 1st slot, zero period</t>
  </si>
  <si>
    <t>Map to period order</t>
  </si>
  <si>
    <t>Time instead of period</t>
  </si>
  <si>
    <t>Clock times, AM/PM, 24h</t>
  </si>
  <si>
    <t>No PE at 8:10.</t>
  </si>
  <si>
    <t>Map time to period via school timings</t>
  </si>
  <si>
    <t>Relative time</t>
  </si>
  <si>
    <t>morning, first thing, start of day, before break, after lunch, end of day, last thing</t>
  </si>
  <si>
    <t>No PE first thing in the morning.</t>
  </si>
  <si>
    <t>first/last directly; before/after break needs breaks setup</t>
  </si>
  <si>
    <t>Day formats</t>
  </si>
  <si>
    <t>Monday, Mon, M, MWF, weekdays, weekends, alternate days, every day, daily, Mon-Wed</t>
  </si>
  <si>
    <t>No PE on Mon-Wed first period.</t>
  </si>
  <si>
    <t>Expand ranges and lists</t>
  </si>
  <si>
    <t>Subject synonyms</t>
  </si>
  <si>
    <t>PE = games = sports = physical education = PT = PET; Maths = Math = Mathematics; CS = Computer = Computers = ICT; SST = Social = Social Studies; EVS; GK</t>
  </si>
  <si>
    <t>No games period first thing for Grade 3.</t>
  </si>
  <si>
    <t>Map synonyms to the school's subject names</t>
  </si>
  <si>
    <t>Teacher references</t>
  </si>
  <si>
    <t>Mrs. Rao, Rao ma'am, Rao miss, Mrs. R, Asha Rao, Asha ma'am, the Maths teacher, class teacher of 8A, KS sir</t>
  </si>
  <si>
    <t>Rao ma'am off Saturday</t>
  </si>
  <si>
    <t>Resolve to one known teacher, or null + ask</t>
  </si>
  <si>
    <t>Numbers</t>
  </si>
  <si>
    <t>2, two, twice, a couple of, both, double, single, half, dozen</t>
  </si>
  <si>
    <t>Maths not thrice a day.</t>
  </si>
  <si>
    <t>Convert words to integers</t>
  </si>
  <si>
    <t>Comparison words</t>
  </si>
  <si>
    <t>more than, at least, at most, no more than, up to, maximum, minimum, less than, under, over, exceeding, not beyond</t>
  </si>
  <si>
    <t>Priya shouldn't exceed 28 periods.</t>
  </si>
  <si>
    <t>Get the boundary right (less than 28 means max 27)</t>
  </si>
  <si>
    <t>Per-unit confusion</t>
  </si>
  <si>
    <t>per day vs per week vs per term; twice a day vs twice a week</t>
  </si>
  <si>
    <t>Maths twice a week for Grade 1.</t>
  </si>
  <si>
    <t>Per week = setup data; per day = max_subject_periods_per_day</t>
  </si>
  <si>
    <t>Negation traps</t>
  </si>
  <si>
    <t>not only, not just, not more than, double negatives, 'no ... unless'</t>
  </si>
  <si>
    <t>PE not only on Fridays.</t>
  </si>
  <si>
    <t>Don't read as 'no PE on Friday'</t>
  </si>
  <si>
    <t>Adjacency direction</t>
  </si>
  <si>
    <t>after/before/followed by/right after/straight after vs next to/together/beside</t>
  </si>
  <si>
    <t>Don't have PE right before Maths.</t>
  </si>
  <si>
    <t>Directional -&gt; subject_sequence; either order -&gt; min_gap</t>
  </si>
  <si>
    <t>'Together' ambiguity</t>
  </si>
  <si>
    <t>together = same slot? adjacent? same day? same teacher?</t>
  </si>
  <si>
    <t>Maths and Science together.</t>
  </si>
  <si>
    <t>Ask</t>
  </si>
  <si>
    <t>Multiple rules in one line</t>
  </si>
  <si>
    <t>and, also, plus, semicolons, commas</t>
  </si>
  <si>
    <t>No PE first period and no Maths last period.</t>
  </si>
  <si>
    <t>Split into separate constraints</t>
  </si>
  <si>
    <t>Lists and bullets</t>
  </si>
  <si>
    <t>Pasted list, numbered points, WhatsApp forward</t>
  </si>
  <si>
    <t>1. No PE P1
2. Maths max 2/day</t>
  </si>
  <si>
    <t>One constraint per item</t>
  </si>
  <si>
    <t>Tables / CSV paste</t>
  </si>
  <si>
    <t>Rows with teacher, day columns</t>
  </si>
  <si>
    <t>Teacher | Off day
Rao | Sat</t>
  </si>
  <si>
    <t>Parse each row</t>
  </si>
  <si>
    <t>Shorthand and symbols</t>
  </si>
  <si>
    <t>-&gt;, =, /, x, @, +, 'n/a', 'X'</t>
  </si>
  <si>
    <t>Gr3: PE != P1</t>
  </si>
  <si>
    <t>Understand symbols</t>
  </si>
  <si>
    <t>Typos and spelling</t>
  </si>
  <si>
    <t>perod, friday -&gt; firday, maths -&gt; mahts, Wensday</t>
  </si>
  <si>
    <t>no PE in first perod</t>
  </si>
  <si>
    <t>Tolerate typos</t>
  </si>
  <si>
    <t>Case and emphasis</t>
  </si>
  <si>
    <t>ALL CAPS, !!!, repeated words</t>
  </si>
  <si>
    <t>NO PE FIRST PERIOD!!!</t>
  </si>
  <si>
    <t>Treat emphasis as hard</t>
  </si>
  <si>
    <t>Hinglish / code-mixed</t>
  </si>
  <si>
    <t>Hindi or regional words mixed with English</t>
  </si>
  <si>
    <t>Grade 3 ka PE pehle period mein nahi.</t>
  </si>
  <si>
    <t>Translate meaning</t>
  </si>
  <si>
    <t>Regional terms</t>
  </si>
  <si>
    <t>std, division, section, sec, class, form, hour, lecture, slot, recess, tiffin, interval, zero period</t>
  </si>
  <si>
    <t>No PE before tiffin for Std 3.</t>
  </si>
  <si>
    <t>Map regional terms (tiffin = lunch/break)</t>
  </si>
  <si>
    <t>Emojis and chat style</t>
  </si>
  <si>
    <t>Emojis, lol, pls, thx</t>
  </si>
  <si>
    <t>no PE 1st period pls 🙏</t>
  </si>
  <si>
    <t>Ignore noise</t>
  </si>
  <si>
    <t>Corrections mid-message</t>
  </si>
  <si>
    <t>actually, sorry, I mean, make that</t>
  </si>
  <si>
    <t>No PE on Friday, sorry, I mean Thursday.</t>
  </si>
  <si>
    <t>Use the corrected value only</t>
  </si>
  <si>
    <t>Update of earlier rule</t>
  </si>
  <si>
    <t>instead, now, change it to, from now on</t>
  </si>
  <si>
    <t>From now on Mrs. Rao is off on Friday instead of Saturday.</t>
  </si>
  <si>
    <t>Replace the old rule (needs lookup of existing)</t>
  </si>
  <si>
    <t>Temporary validity</t>
  </si>
  <si>
    <t>this term, during exams, till Diwali, for 2 weeks</t>
  </si>
  <si>
    <t>No PE till the sports day is over.</t>
  </si>
  <si>
    <t>Note the time limit</t>
  </si>
  <si>
    <t>Counting across the school</t>
  </si>
  <si>
    <t>only N classes at a time, at most N sections</t>
  </si>
  <si>
    <t>Only 2 classes on the ground at once.</t>
  </si>
  <si>
    <t>Resource-concurrency rule</t>
  </si>
  <si>
    <t>Everyone / nobody</t>
  </si>
  <si>
    <t>all teachers, every class, no one, any section</t>
  </si>
  <si>
    <t>No teacher gets more than 6 a day.</t>
  </si>
  <si>
    <t>Apply to each</t>
  </si>
  <si>
    <t>Vague quality words</t>
  </si>
  <si>
    <t>balanced, fair, light, heavy, nice, not tiring</t>
  </si>
  <si>
    <t>Keep Monday light for Grade 1.</t>
  </si>
  <si>
    <t>Ask what they mean</t>
  </si>
  <si>
    <t>Nonexistent references</t>
  </si>
  <si>
    <t>Teachers, subjects or rooms not in setup</t>
  </si>
  <si>
    <t>Mr. Verma off Tuesday (no such teacher)</t>
  </si>
  <si>
    <t>Return null, don't guess</t>
  </si>
  <si>
    <t>Why it's tricky</t>
  </si>
  <si>
    <t>Right handling</t>
  </si>
  <si>
    <t>'Twice a week' vs 'twice a day'</t>
  </si>
  <si>
    <t>Periods per week is setup data, not max_subject_periods_per_day.</t>
  </si>
  <si>
    <t>Map to setup requirement or ask</t>
  </si>
  <si>
    <t>'Less than' vs 'no more than'</t>
  </si>
  <si>
    <t>Priya should have less than 28 periods.</t>
  </si>
  <si>
    <t>Less than 28 = max 27; no more than 28 = max 28.</t>
  </si>
  <si>
    <t>Exact boundary</t>
  </si>
  <si>
    <t>'After PE' direction</t>
  </si>
  <si>
    <t>Don't put PE right before Maths.</t>
  </si>
  <si>
    <t>Same as Maths can't follow PE: first=PE, second=Maths.</t>
  </si>
  <si>
    <t>subject_sequence with correct order</t>
  </si>
  <si>
    <t>'Next to each other' is symmetric</t>
  </si>
  <si>
    <t>Maths and PE shouldn't be next to each other.</t>
  </si>
  <si>
    <t>Forbids both orders.</t>
  </si>
  <si>
    <t>min_gap_between_subjects, min_gap=1</t>
  </si>
  <si>
    <t>Same subject back to back</t>
  </si>
  <si>
    <t>No double English.</t>
  </si>
  <si>
    <t>One subject, consecutive -&gt; max_consecutive_periods=1, not min_gap.</t>
  </si>
  <si>
    <t>max_consecutive_periods</t>
  </si>
  <si>
    <t>'Last period' depends on the day</t>
  </si>
  <si>
    <t>Library in the 8th period.</t>
  </si>
  <si>
    <t>8th is only 'last' if the day has 8 periods (Saturday may have 4).</t>
  </si>
  <si>
    <t>Prefer position=last only if they said last</t>
  </si>
  <si>
    <t>'Weekend'</t>
  </si>
  <si>
    <t>Mrs. Rao doesn't work weekends.</t>
  </si>
  <si>
    <t>Only days the school runs matter (usually Saturday).</t>
  </si>
  <si>
    <t>Expand to school days only</t>
  </si>
  <si>
    <t>'Morning' / 'afternoon'</t>
  </si>
  <si>
    <t>Maths only in the morning.</t>
  </si>
  <si>
    <t>Needs the break position to know where morning ends.</t>
  </si>
  <si>
    <t>Map using breaks, or ask</t>
  </si>
  <si>
    <t>'CS' abbreviation</t>
  </si>
  <si>
    <t>CS on Monday for Grade 6.</t>
  </si>
  <si>
    <t>Computer Science or Communication Skills? SST vs Social Science too.</t>
  </si>
  <si>
    <t>Match against known subject list</t>
  </si>
  <si>
    <t>Titles and nicknames</t>
  </si>
  <si>
    <t>KS sir off Friday.</t>
  </si>
  <si>
    <t>Initials may match 2 teachers.</t>
  </si>
  <si>
    <t>Ask if not unique</t>
  </si>
  <si>
    <t>Grade vs section</t>
  </si>
  <si>
    <t>8th has Maths first.</t>
  </si>
  <si>
    <t>All of Grade 8 or only one section?</t>
  </si>
  <si>
    <t>Default to whole grade, confirm</t>
  </si>
  <si>
    <t>Group words</t>
  </si>
  <si>
    <t>Juniors don't have PE first period.</t>
  </si>
  <si>
    <t>Juniors = which grades? Varies by school.</t>
  </si>
  <si>
    <t>Needs school-specific mapping</t>
  </si>
  <si>
    <t>'Only' flips meaning</t>
  </si>
  <si>
    <t>Arjun only comes on Monday.</t>
  </si>
  <si>
    <t>Means unavailable on every other day, not available on Monday.</t>
  </si>
  <si>
    <t>Expand to unavailable days</t>
  </si>
  <si>
    <t>Double negative</t>
  </si>
  <si>
    <t>It's not that PE can't be on Friday.</t>
  </si>
  <si>
    <t>Means PE is allowed on Friday - no rule.</t>
  </si>
  <si>
    <t>Don't create a constraint</t>
  </si>
  <si>
    <t>Reason sounds like a rule</t>
  </si>
  <si>
    <t>Mr. Khan has lab duty, so he's busy.</t>
  </si>
  <si>
    <t>When? Missing day/period.</t>
  </si>
  <si>
    <t>Ask for the slot</t>
  </si>
  <si>
    <t>Soft vs hard</t>
  </si>
  <si>
    <t>Try to keep Maths first.</t>
  </si>
  <si>
    <t>'Try' means soft, can be broken.</t>
  </si>
  <si>
    <t>Two rules, one sentence</t>
  </si>
  <si>
    <t>No PE Friday and Maths first for 10.</t>
  </si>
  <si>
    <t>Two constraints with different scopes.</t>
  </si>
  <si>
    <t>Split</t>
  </si>
  <si>
    <t>Correction</t>
  </si>
  <si>
    <t>No PE Friday - no wait, Thursday.</t>
  </si>
  <si>
    <t>Keep only the corrected day.</t>
  </si>
  <si>
    <t>Use last value</t>
  </si>
  <si>
    <t>Question that's a rule</t>
  </si>
  <si>
    <t>Can we not have PE on Friday?</t>
  </si>
  <si>
    <t>It's a request, not a real question.</t>
  </si>
  <si>
    <t>Create the rule</t>
  </si>
  <si>
    <t>Real question</t>
  </si>
  <si>
    <t>Can Mrs. Rao take 8 periods Monday?</t>
  </si>
  <si>
    <t>Not a rule.</t>
  </si>
  <si>
    <t>Per-teacher vs school-wide cap</t>
  </si>
  <si>
    <t>Max 30 periods.</t>
  </si>
  <si>
    <t>For one teacher or for every teacher?</t>
  </si>
  <si>
    <t>Ask if no name given and context unclear</t>
  </si>
  <si>
    <t>Hours vs periods</t>
  </si>
  <si>
    <t>Priya max 20 hours a week.</t>
  </si>
  <si>
    <t>Periods are often 40 min, so 20 hours is about 30 periods.</t>
  </si>
  <si>
    <t>Confirm units</t>
  </si>
  <si>
    <t>Maths first every day / no Maths first on Monday.</t>
  </si>
  <si>
    <t>Both can't hold.</t>
  </si>
  <si>
    <t>Flag conflict</t>
  </si>
  <si>
    <t>Constraint types</t>
  </si>
  <si>
    <t>Share of types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</si>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</sst>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sz val="1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E2F0D9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7F6"/>
      </patternFill>
    </fill>
    <fill>
      <patternFill patternType="solid">
        <fgColor rgb="FFDDEBF7"/>
        <bgColor rgb="FFEDE7F6"/>
      </patternFill>
    </fill>
    <fill>
      <patternFill patternType="solid">
        <fgColor rgb="FFEDE7F6"/>
        <bgColor rgb="FFF2F2F2"/>
      </patternFill>
    </fill>
    <fill>
      <patternFill patternType="solid">
        <fgColor rgb="FFFCE4D6"/>
        <bgColor rgb="FFFFF2CC"/>
      </patternFill>
    </fill>
    <fill>
      <patternFill patternType="solid">
        <fgColor rgb="FF11111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Border="1" applyAlignment="1">
      <alignment wrapText="1"/>
    </xf>
    <xf numFmtId="0" fontId="2" fillId="0" borderId="0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0" xfId="0" applyFont="1" applyFill="1"/>
    <xf numFmtId="0" fontId="2" fillId="0" borderId="0" xfId="0" applyFont="1" applyAlignment="1">
      <alignment wrapTex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4" fillId="7" borderId="0" xfId="0" applyFont="1" applyFill="1"/>
    <xf numFmtId="0" fontId="3" fillId="0" borderId="0" xfId="0" applyFont="1"/>
    <xf numFmtId="0" fontId="5" fillId="8" borderId="0" xfId="0" applyFont="1" applyFill="1" applyAlignment="1">
      <alignment vertical="center" wrapText="1"/>
    </xf>
    <xf numFmtId="0" fontId="2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5" borderId="1" xfId="0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2" fillId="7" borderId="1" xfId="0" applyFont="1" applyFill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F0D9"/>
      <rgbColor rgb="FFEDE7F6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topLeftCell="A10" zoomScaleNormal="100" workbookViewId="0">
      <selection activeCell="A38" sqref="A38"/>
    </sheetView>
  </sheetViews>
  <sheetFormatPr defaultColWidth="8.6640625" defaultRowHeight="14.4" x14ac:dyDescent="0.3"/>
  <cols>
    <col min="1" max="1" width="28" customWidth="1"/>
    <col min="2" max="2" width="110" customWidth="1"/>
  </cols>
  <sheetData>
    <row r="1" spans="1:2" ht="52.2" x14ac:dyDescent="0.3">
      <c r="A1" s="3" t="s">
        <v>0</v>
      </c>
    </row>
    <row r="2" spans="1:2" ht="23.85" customHeight="1" x14ac:dyDescent="0.3">
      <c r="A2" s="2" t="s">
        <v>1</v>
      </c>
      <c r="B2" s="2"/>
    </row>
    <row r="3" spans="1:2" x14ac:dyDescent="0.3">
      <c r="A3" s="4"/>
    </row>
    <row r="4" spans="1:2" x14ac:dyDescent="0.3">
      <c r="A4" s="5" t="s">
        <v>2</v>
      </c>
    </row>
    <row r="5" spans="1:2" ht="15" customHeight="1" x14ac:dyDescent="0.3">
      <c r="A5" s="2" t="s">
        <v>3</v>
      </c>
      <c r="B5" s="2"/>
    </row>
    <row r="6" spans="1:2" ht="23.85" customHeight="1" x14ac:dyDescent="0.3">
      <c r="A6" s="2" t="s">
        <v>4</v>
      </c>
      <c r="B6" s="2"/>
    </row>
    <row r="7" spans="1:2" ht="15" customHeight="1" x14ac:dyDescent="0.3">
      <c r="A7" s="2" t="s">
        <v>5</v>
      </c>
      <c r="B7" s="2"/>
    </row>
    <row r="8" spans="1:2" ht="15" customHeight="1" x14ac:dyDescent="0.3">
      <c r="A8" s="2" t="s">
        <v>6</v>
      </c>
      <c r="B8" s="2"/>
    </row>
    <row r="9" spans="1:2" ht="15" customHeight="1" x14ac:dyDescent="0.3">
      <c r="A9" s="2" t="s">
        <v>7</v>
      </c>
      <c r="B9" s="2"/>
    </row>
    <row r="10" spans="1:2" x14ac:dyDescent="0.3">
      <c r="A10" s="4"/>
    </row>
    <row r="11" spans="1:2" x14ac:dyDescent="0.3">
      <c r="A11" s="5" t="s">
        <v>8</v>
      </c>
    </row>
    <row r="12" spans="1:2" x14ac:dyDescent="0.3">
      <c r="A12" s="6" t="s">
        <v>9</v>
      </c>
      <c r="B12" s="7" t="s">
        <v>10</v>
      </c>
    </row>
    <row r="13" spans="1:2" ht="27" x14ac:dyDescent="0.3">
      <c r="A13" s="8" t="s">
        <v>11</v>
      </c>
      <c r="B13" s="7" t="s">
        <v>12</v>
      </c>
    </row>
    <row r="14" spans="1:2" x14ac:dyDescent="0.3">
      <c r="A14" s="9" t="s">
        <v>13</v>
      </c>
      <c r="B14" s="7" t="s">
        <v>14</v>
      </c>
    </row>
    <row r="15" spans="1:2" x14ac:dyDescent="0.3">
      <c r="A15" s="10" t="s">
        <v>15</v>
      </c>
      <c r="B15" s="7" t="s">
        <v>16</v>
      </c>
    </row>
    <row r="16" spans="1:2" x14ac:dyDescent="0.3">
      <c r="A16" s="11" t="s">
        <v>17</v>
      </c>
      <c r="B16" s="7" t="s">
        <v>18</v>
      </c>
    </row>
    <row r="17" spans="1:2" x14ac:dyDescent="0.3">
      <c r="A17" s="12" t="s">
        <v>19</v>
      </c>
      <c r="B17" s="7" t="s">
        <v>20</v>
      </c>
    </row>
    <row r="19" spans="1:2" x14ac:dyDescent="0.3">
      <c r="A19" s="13" t="s">
        <v>21</v>
      </c>
    </row>
    <row r="20" spans="1:2" ht="15" customHeight="1" x14ac:dyDescent="0.3">
      <c r="A20" s="1" t="s">
        <v>22</v>
      </c>
      <c r="B20" s="1"/>
    </row>
    <row r="21" spans="1:2" ht="15" customHeight="1" x14ac:dyDescent="0.3">
      <c r="A21" s="1" t="s">
        <v>23</v>
      </c>
      <c r="B21" s="1"/>
    </row>
    <row r="22" spans="1:2" ht="15" customHeight="1" x14ac:dyDescent="0.3">
      <c r="A22" s="1" t="s">
        <v>24</v>
      </c>
      <c r="B22" s="1"/>
    </row>
    <row r="23" spans="1:2" ht="23.85" customHeight="1" x14ac:dyDescent="0.3">
      <c r="A23" s="1" t="s">
        <v>25</v>
      </c>
      <c r="B23" s="1"/>
    </row>
  </sheetData>
  <mergeCells count="10">
    <mergeCell ref="A9:B9"/>
    <mergeCell ref="A20:B20"/>
    <mergeCell ref="A21:B21"/>
    <mergeCell ref="A22:B22"/>
    <mergeCell ref="A23:B23"/>
    <mergeCell ref="A2:B2"/>
    <mergeCell ref="A5:B5"/>
    <mergeCell ref="A6:B6"/>
    <mergeCell ref="A7:B7"/>
    <mergeCell ref="A8:B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zoomScaleNormal="100" workbookViewId="0">
      <pane ySplit="1" topLeftCell="A88" activePane="bottomLeft" state="frozen"/>
      <selection pane="bottomLeft" activeCell="A101" sqref="A101"/>
    </sheetView>
  </sheetViews>
  <sheetFormatPr defaultColWidth="8.6640625" defaultRowHeight="14.4" x14ac:dyDescent="0.3"/>
  <cols>
    <col min="1" max="1" width="7" customWidth="1"/>
    <col min="2" max="2" width="20" customWidth="1"/>
    <col min="3" max="3" width="34" customWidth="1"/>
    <col min="4" max="5" width="46" customWidth="1"/>
    <col min="6" max="6" width="30" customWidth="1"/>
    <col min="7" max="7" width="22" customWidth="1"/>
    <col min="8" max="8" width="10" customWidth="1"/>
    <col min="9" max="9" width="34" customWidth="1"/>
    <col min="10" max="10" width="11" customWidth="1"/>
  </cols>
  <sheetData>
    <row r="1" spans="1:10" ht="30" customHeight="1" x14ac:dyDescent="0.3">
      <c r="A1" s="14" t="s">
        <v>26</v>
      </c>
      <c r="B1" s="14" t="s">
        <v>27</v>
      </c>
      <c r="C1" s="14" t="s">
        <v>28</v>
      </c>
      <c r="D1" s="14" t="s">
        <v>29</v>
      </c>
      <c r="E1" s="14" t="s">
        <v>30</v>
      </c>
      <c r="F1" s="14" t="s">
        <v>31</v>
      </c>
      <c r="G1" s="14" t="s">
        <v>32</v>
      </c>
      <c r="H1" s="14" t="s">
        <v>33</v>
      </c>
      <c r="I1" s="14" t="s">
        <v>34</v>
      </c>
      <c r="J1" s="14" t="s">
        <v>35</v>
      </c>
    </row>
    <row r="2" spans="1:10" ht="26.4" x14ac:dyDescent="0.3">
      <c r="A2" s="15" t="s">
        <v>36</v>
      </c>
      <c r="B2" s="15" t="s">
        <v>37</v>
      </c>
      <c r="C2" s="15" t="s">
        <v>38</v>
      </c>
      <c r="D2" s="15" t="s">
        <v>39</v>
      </c>
      <c r="E2" s="15" t="s">
        <v>40</v>
      </c>
      <c r="F2" s="15" t="s">
        <v>41</v>
      </c>
      <c r="G2" s="16" t="s">
        <v>9</v>
      </c>
      <c r="H2" s="15" t="s">
        <v>42</v>
      </c>
      <c r="I2" s="15" t="s">
        <v>43</v>
      </c>
      <c r="J2" s="15">
        <f>COUNTIF(Phrasings!$B:$B,A2)</f>
        <v>20</v>
      </c>
    </row>
    <row r="3" spans="1:10" ht="26.4" x14ac:dyDescent="0.3">
      <c r="A3" s="15" t="s">
        <v>44</v>
      </c>
      <c r="B3" s="15" t="s">
        <v>37</v>
      </c>
      <c r="C3" s="15" t="s">
        <v>45</v>
      </c>
      <c r="D3" s="15" t="s">
        <v>46</v>
      </c>
      <c r="E3" s="15" t="s">
        <v>47</v>
      </c>
      <c r="F3" s="15" t="s">
        <v>48</v>
      </c>
      <c r="G3" s="17" t="s">
        <v>11</v>
      </c>
      <c r="H3" s="15" t="s">
        <v>42</v>
      </c>
      <c r="I3" s="15" t="s">
        <v>49</v>
      </c>
      <c r="J3" s="15">
        <f>COUNTIF(Phrasings!$B:$B,A3)</f>
        <v>8</v>
      </c>
    </row>
    <row r="4" spans="1:10" ht="26.4" x14ac:dyDescent="0.3">
      <c r="A4" s="15" t="s">
        <v>50</v>
      </c>
      <c r="B4" s="15" t="s">
        <v>37</v>
      </c>
      <c r="C4" s="15" t="s">
        <v>51</v>
      </c>
      <c r="D4" s="15" t="s">
        <v>52</v>
      </c>
      <c r="E4" s="15" t="s">
        <v>53</v>
      </c>
      <c r="F4" s="15" t="s">
        <v>54</v>
      </c>
      <c r="G4" s="18" t="s">
        <v>13</v>
      </c>
      <c r="H4" s="15" t="s">
        <v>42</v>
      </c>
      <c r="I4" s="15" t="s">
        <v>55</v>
      </c>
      <c r="J4" s="15">
        <f>COUNTIF(Phrasings!$B:$B,A4)</f>
        <v>7</v>
      </c>
    </row>
    <row r="5" spans="1:10" ht="26.4" x14ac:dyDescent="0.3">
      <c r="A5" s="15" t="s">
        <v>56</v>
      </c>
      <c r="B5" s="15" t="s">
        <v>37</v>
      </c>
      <c r="C5" s="15" t="s">
        <v>57</v>
      </c>
      <c r="D5" s="15" t="s">
        <v>58</v>
      </c>
      <c r="E5" s="15" t="s">
        <v>59</v>
      </c>
      <c r="F5" s="15" t="s">
        <v>54</v>
      </c>
      <c r="G5" s="18" t="s">
        <v>13</v>
      </c>
      <c r="H5" s="15" t="s">
        <v>42</v>
      </c>
      <c r="I5" s="15" t="s">
        <v>60</v>
      </c>
      <c r="J5" s="15">
        <f>COUNTIF(Phrasings!$B:$B,A5)</f>
        <v>6</v>
      </c>
    </row>
    <row r="6" spans="1:10" ht="26.4" x14ac:dyDescent="0.3">
      <c r="A6" s="15" t="s">
        <v>61</v>
      </c>
      <c r="B6" s="15" t="s">
        <v>37</v>
      </c>
      <c r="C6" s="15" t="s">
        <v>62</v>
      </c>
      <c r="D6" s="15" t="s">
        <v>63</v>
      </c>
      <c r="E6" s="15" t="s">
        <v>64</v>
      </c>
      <c r="F6" s="15" t="s">
        <v>54</v>
      </c>
      <c r="G6" s="18" t="s">
        <v>13</v>
      </c>
      <c r="H6" s="15" t="s">
        <v>42</v>
      </c>
      <c r="I6" s="15" t="s">
        <v>65</v>
      </c>
      <c r="J6" s="15">
        <f>COUNTIF(Phrasings!$B:$B,A6)</f>
        <v>3</v>
      </c>
    </row>
    <row r="7" spans="1:10" ht="26.4" x14ac:dyDescent="0.3">
      <c r="A7" s="15" t="s">
        <v>66</v>
      </c>
      <c r="B7" s="15" t="s">
        <v>37</v>
      </c>
      <c r="C7" s="15" t="s">
        <v>67</v>
      </c>
      <c r="D7" s="15" t="s">
        <v>68</v>
      </c>
      <c r="E7" s="15" t="s">
        <v>69</v>
      </c>
      <c r="F7" s="15" t="s">
        <v>54</v>
      </c>
      <c r="G7" s="18" t="s">
        <v>13</v>
      </c>
      <c r="H7" s="15" t="s">
        <v>42</v>
      </c>
      <c r="I7" s="15" t="s">
        <v>70</v>
      </c>
      <c r="J7" s="15">
        <f>COUNTIF(Phrasings!$B:$B,A7)</f>
        <v>3</v>
      </c>
    </row>
    <row r="8" spans="1:10" ht="26.4" x14ac:dyDescent="0.3">
      <c r="A8" s="15" t="s">
        <v>71</v>
      </c>
      <c r="B8" s="15" t="s">
        <v>37</v>
      </c>
      <c r="C8" s="15" t="s">
        <v>72</v>
      </c>
      <c r="D8" s="15" t="s">
        <v>73</v>
      </c>
      <c r="E8" s="15" t="s">
        <v>74</v>
      </c>
      <c r="F8" s="15" t="s">
        <v>54</v>
      </c>
      <c r="G8" s="18" t="s">
        <v>13</v>
      </c>
      <c r="H8" s="15" t="s">
        <v>75</v>
      </c>
      <c r="I8" s="15" t="s">
        <v>76</v>
      </c>
      <c r="J8" s="15">
        <f>COUNTIF(Phrasings!$B:$B,A8)</f>
        <v>3</v>
      </c>
    </row>
    <row r="9" spans="1:10" ht="26.4" x14ac:dyDescent="0.3">
      <c r="A9" s="15" t="s">
        <v>77</v>
      </c>
      <c r="B9" s="15" t="s">
        <v>37</v>
      </c>
      <c r="C9" s="15" t="s">
        <v>78</v>
      </c>
      <c r="D9" s="15" t="s">
        <v>79</v>
      </c>
      <c r="E9" s="15" t="s">
        <v>80</v>
      </c>
      <c r="F9" s="15" t="s">
        <v>54</v>
      </c>
      <c r="G9" s="18" t="s">
        <v>13</v>
      </c>
      <c r="H9" s="15" t="s">
        <v>42</v>
      </c>
      <c r="I9" s="15" t="s">
        <v>81</v>
      </c>
      <c r="J9" s="15">
        <f>COUNTIF(Phrasings!$B:$B,A9)</f>
        <v>3</v>
      </c>
    </row>
    <row r="10" spans="1:10" ht="26.4" x14ac:dyDescent="0.3">
      <c r="A10" s="15" t="s">
        <v>82</v>
      </c>
      <c r="B10" s="15" t="s">
        <v>37</v>
      </c>
      <c r="C10" s="15" t="s">
        <v>83</v>
      </c>
      <c r="D10" s="15" t="s">
        <v>84</v>
      </c>
      <c r="E10" s="15" t="s">
        <v>85</v>
      </c>
      <c r="F10" s="15" t="s">
        <v>54</v>
      </c>
      <c r="G10" s="18" t="s">
        <v>13</v>
      </c>
      <c r="H10" s="15" t="s">
        <v>42</v>
      </c>
      <c r="I10" s="15" t="s">
        <v>86</v>
      </c>
      <c r="J10" s="15">
        <f>COUNTIF(Phrasings!$B:$B,A10)</f>
        <v>3</v>
      </c>
    </row>
    <row r="11" spans="1:10" ht="26.4" x14ac:dyDescent="0.3">
      <c r="A11" s="15" t="s">
        <v>87</v>
      </c>
      <c r="B11" s="15" t="s">
        <v>88</v>
      </c>
      <c r="C11" s="15" t="s">
        <v>89</v>
      </c>
      <c r="D11" s="15" t="s">
        <v>90</v>
      </c>
      <c r="E11" s="15" t="s">
        <v>91</v>
      </c>
      <c r="F11" s="15" t="s">
        <v>92</v>
      </c>
      <c r="G11" s="16" t="s">
        <v>9</v>
      </c>
      <c r="H11" s="15" t="s">
        <v>42</v>
      </c>
      <c r="I11" s="15" t="s">
        <v>93</v>
      </c>
      <c r="J11" s="15">
        <f>COUNTIF(Phrasings!$B:$B,A11)</f>
        <v>13</v>
      </c>
    </row>
    <row r="12" spans="1:10" ht="26.4" x14ac:dyDescent="0.3">
      <c r="A12" s="15" t="s">
        <v>94</v>
      </c>
      <c r="B12" s="15" t="s">
        <v>88</v>
      </c>
      <c r="C12" s="15" t="s">
        <v>95</v>
      </c>
      <c r="D12" s="15" t="s">
        <v>96</v>
      </c>
      <c r="E12" s="15" t="s">
        <v>97</v>
      </c>
      <c r="F12" s="15" t="s">
        <v>54</v>
      </c>
      <c r="G12" s="18" t="s">
        <v>13</v>
      </c>
      <c r="H12" s="15" t="s">
        <v>98</v>
      </c>
      <c r="I12" s="15" t="s">
        <v>99</v>
      </c>
      <c r="J12" s="15">
        <f>COUNTIF(Phrasings!$B:$B,A12)</f>
        <v>3</v>
      </c>
    </row>
    <row r="13" spans="1:10" x14ac:dyDescent="0.3">
      <c r="A13" s="15" t="s">
        <v>100</v>
      </c>
      <c r="B13" s="15" t="s">
        <v>88</v>
      </c>
      <c r="C13" s="15" t="s">
        <v>101</v>
      </c>
      <c r="D13" s="15" t="s">
        <v>102</v>
      </c>
      <c r="E13" s="15" t="s">
        <v>103</v>
      </c>
      <c r="F13" s="15" t="s">
        <v>54</v>
      </c>
      <c r="G13" s="18" t="s">
        <v>13</v>
      </c>
      <c r="H13" s="15" t="s">
        <v>42</v>
      </c>
      <c r="I13" s="15" t="s">
        <v>104</v>
      </c>
      <c r="J13" s="15">
        <f>COUNTIF(Phrasings!$B:$B,A13)</f>
        <v>4</v>
      </c>
    </row>
    <row r="14" spans="1:10" ht="26.4" x14ac:dyDescent="0.3">
      <c r="A14" s="15" t="s">
        <v>105</v>
      </c>
      <c r="B14" s="15" t="s">
        <v>88</v>
      </c>
      <c r="C14" s="15" t="s">
        <v>106</v>
      </c>
      <c r="D14" s="15" t="s">
        <v>107</v>
      </c>
      <c r="E14" s="15" t="s">
        <v>108</v>
      </c>
      <c r="F14" s="15" t="s">
        <v>54</v>
      </c>
      <c r="G14" s="18" t="s">
        <v>13</v>
      </c>
      <c r="H14" s="15" t="s">
        <v>75</v>
      </c>
      <c r="I14" s="15" t="s">
        <v>109</v>
      </c>
      <c r="J14" s="15">
        <f>COUNTIF(Phrasings!$B:$B,A14)</f>
        <v>2</v>
      </c>
    </row>
    <row r="15" spans="1:10" ht="26.4" x14ac:dyDescent="0.3">
      <c r="A15" s="15" t="s">
        <v>110</v>
      </c>
      <c r="B15" s="15" t="s">
        <v>88</v>
      </c>
      <c r="C15" s="15" t="s">
        <v>111</v>
      </c>
      <c r="D15" s="15" t="s">
        <v>112</v>
      </c>
      <c r="E15" s="15" t="s">
        <v>113</v>
      </c>
      <c r="F15" s="15" t="s">
        <v>114</v>
      </c>
      <c r="G15" s="16" t="s">
        <v>9</v>
      </c>
      <c r="H15" s="15" t="s">
        <v>42</v>
      </c>
      <c r="I15" s="15" t="s">
        <v>115</v>
      </c>
      <c r="J15" s="15">
        <f>COUNTIF(Phrasings!$B:$B,A15)</f>
        <v>10</v>
      </c>
    </row>
    <row r="16" spans="1:10" ht="26.4" x14ac:dyDescent="0.3">
      <c r="A16" s="15" t="s">
        <v>116</v>
      </c>
      <c r="B16" s="15" t="s">
        <v>88</v>
      </c>
      <c r="C16" s="15" t="s">
        <v>117</v>
      </c>
      <c r="D16" s="15" t="s">
        <v>118</v>
      </c>
      <c r="E16" s="15" t="s">
        <v>119</v>
      </c>
      <c r="F16" s="15" t="s">
        <v>54</v>
      </c>
      <c r="G16" s="18" t="s">
        <v>13</v>
      </c>
      <c r="H16" s="15" t="s">
        <v>42</v>
      </c>
      <c r="I16" s="15" t="s">
        <v>120</v>
      </c>
      <c r="J16" s="15">
        <f>COUNTIF(Phrasings!$B:$B,A16)</f>
        <v>3</v>
      </c>
    </row>
    <row r="17" spans="1:10" ht="26.4" x14ac:dyDescent="0.3">
      <c r="A17" s="15" t="s">
        <v>121</v>
      </c>
      <c r="B17" s="15" t="s">
        <v>88</v>
      </c>
      <c r="C17" s="15" t="s">
        <v>122</v>
      </c>
      <c r="D17" s="15" t="s">
        <v>123</v>
      </c>
      <c r="E17" s="15" t="s">
        <v>124</v>
      </c>
      <c r="F17" s="15" t="s">
        <v>54</v>
      </c>
      <c r="G17" s="18" t="s">
        <v>13</v>
      </c>
      <c r="H17" s="15" t="s">
        <v>75</v>
      </c>
      <c r="I17" s="15" t="s">
        <v>125</v>
      </c>
      <c r="J17" s="15">
        <f>COUNTIF(Phrasings!$B:$B,A17)</f>
        <v>2</v>
      </c>
    </row>
    <row r="18" spans="1:10" ht="26.4" x14ac:dyDescent="0.3">
      <c r="A18" s="15" t="s">
        <v>126</v>
      </c>
      <c r="B18" s="15" t="s">
        <v>88</v>
      </c>
      <c r="C18" s="15" t="s">
        <v>127</v>
      </c>
      <c r="D18" s="15" t="s">
        <v>128</v>
      </c>
      <c r="E18" s="15" t="s">
        <v>129</v>
      </c>
      <c r="F18" s="15" t="s">
        <v>54</v>
      </c>
      <c r="G18" s="18" t="s">
        <v>13</v>
      </c>
      <c r="H18" s="15" t="s">
        <v>75</v>
      </c>
      <c r="I18" s="15" t="s">
        <v>130</v>
      </c>
      <c r="J18" s="15">
        <f>COUNTIF(Phrasings!$B:$B,A18)</f>
        <v>2</v>
      </c>
    </row>
    <row r="19" spans="1:10" ht="26.4" x14ac:dyDescent="0.3">
      <c r="A19" s="15" t="s">
        <v>131</v>
      </c>
      <c r="B19" s="15" t="s">
        <v>88</v>
      </c>
      <c r="C19" s="15" t="s">
        <v>132</v>
      </c>
      <c r="D19" s="15" t="s">
        <v>133</v>
      </c>
      <c r="E19" s="15" t="s">
        <v>134</v>
      </c>
      <c r="F19" s="15" t="s">
        <v>54</v>
      </c>
      <c r="G19" s="18" t="s">
        <v>13</v>
      </c>
      <c r="H19" s="15" t="s">
        <v>75</v>
      </c>
      <c r="I19" s="15" t="s">
        <v>135</v>
      </c>
      <c r="J19" s="15">
        <f>COUNTIF(Phrasings!$B:$B,A19)</f>
        <v>1</v>
      </c>
    </row>
    <row r="20" spans="1:10" x14ac:dyDescent="0.3">
      <c r="A20" s="15" t="s">
        <v>136</v>
      </c>
      <c r="B20" s="15" t="s">
        <v>88</v>
      </c>
      <c r="C20" s="15" t="s">
        <v>137</v>
      </c>
      <c r="D20" s="15" t="s">
        <v>138</v>
      </c>
      <c r="E20" s="15" t="s">
        <v>139</v>
      </c>
      <c r="F20" s="15" t="s">
        <v>54</v>
      </c>
      <c r="G20" s="18" t="s">
        <v>13</v>
      </c>
      <c r="H20" s="15" t="s">
        <v>42</v>
      </c>
      <c r="I20" s="15" t="s">
        <v>140</v>
      </c>
      <c r="J20" s="15">
        <f>COUNTIF(Phrasings!$B:$B,A20)</f>
        <v>2</v>
      </c>
    </row>
    <row r="21" spans="1:10" ht="26.4" x14ac:dyDescent="0.3">
      <c r="A21" s="15" t="s">
        <v>141</v>
      </c>
      <c r="B21" s="15" t="s">
        <v>88</v>
      </c>
      <c r="C21" s="15" t="s">
        <v>142</v>
      </c>
      <c r="D21" s="15" t="s">
        <v>143</v>
      </c>
      <c r="E21" s="15" t="s">
        <v>144</v>
      </c>
      <c r="F21" s="15" t="s">
        <v>54</v>
      </c>
      <c r="G21" s="18" t="s">
        <v>13</v>
      </c>
      <c r="H21" s="15" t="s">
        <v>75</v>
      </c>
      <c r="I21" s="15" t="s">
        <v>145</v>
      </c>
      <c r="J21" s="15">
        <f>COUNTIF(Phrasings!$B:$B,A21)</f>
        <v>1</v>
      </c>
    </row>
    <row r="22" spans="1:10" x14ac:dyDescent="0.3">
      <c r="A22" s="15" t="s">
        <v>146</v>
      </c>
      <c r="B22" s="15" t="s">
        <v>88</v>
      </c>
      <c r="C22" s="15" t="s">
        <v>147</v>
      </c>
      <c r="D22" s="15" t="s">
        <v>148</v>
      </c>
      <c r="E22" s="15" t="s">
        <v>149</v>
      </c>
      <c r="F22" s="15" t="s">
        <v>54</v>
      </c>
      <c r="G22" s="18" t="s">
        <v>13</v>
      </c>
      <c r="H22" s="15" t="s">
        <v>75</v>
      </c>
      <c r="I22" s="15" t="s">
        <v>150</v>
      </c>
      <c r="J22" s="15">
        <f>COUNTIF(Phrasings!$B:$B,A22)</f>
        <v>2</v>
      </c>
    </row>
    <row r="23" spans="1:10" ht="26.4" x14ac:dyDescent="0.3">
      <c r="A23" s="15" t="s">
        <v>151</v>
      </c>
      <c r="B23" s="15" t="s">
        <v>152</v>
      </c>
      <c r="C23" s="15" t="s">
        <v>153</v>
      </c>
      <c r="D23" s="15" t="s">
        <v>154</v>
      </c>
      <c r="E23" s="15" t="s">
        <v>155</v>
      </c>
      <c r="F23" s="15" t="s">
        <v>156</v>
      </c>
      <c r="G23" s="19" t="s">
        <v>15</v>
      </c>
      <c r="H23" s="15" t="s">
        <v>42</v>
      </c>
      <c r="I23" s="15" t="s">
        <v>157</v>
      </c>
      <c r="J23" s="15">
        <f>COUNTIF(Phrasings!$B:$B,A23)</f>
        <v>3</v>
      </c>
    </row>
    <row r="24" spans="1:10" x14ac:dyDescent="0.3">
      <c r="A24" s="15" t="s">
        <v>158</v>
      </c>
      <c r="B24" s="15" t="s">
        <v>152</v>
      </c>
      <c r="C24" s="15" t="s">
        <v>159</v>
      </c>
      <c r="D24" s="15" t="s">
        <v>160</v>
      </c>
      <c r="E24" s="15" t="s">
        <v>161</v>
      </c>
      <c r="F24" s="15" t="s">
        <v>54</v>
      </c>
      <c r="G24" s="18" t="s">
        <v>13</v>
      </c>
      <c r="H24" s="15" t="s">
        <v>42</v>
      </c>
      <c r="I24" s="15" t="s">
        <v>162</v>
      </c>
      <c r="J24" s="15">
        <f>COUNTIF(Phrasings!$B:$B,A24)</f>
        <v>2</v>
      </c>
    </row>
    <row r="25" spans="1:10" ht="26.4" x14ac:dyDescent="0.3">
      <c r="A25" s="15" t="s">
        <v>163</v>
      </c>
      <c r="B25" s="15" t="s">
        <v>152</v>
      </c>
      <c r="C25" s="15" t="s">
        <v>164</v>
      </c>
      <c r="D25" s="15" t="s">
        <v>165</v>
      </c>
      <c r="E25" s="15" t="s">
        <v>166</v>
      </c>
      <c r="F25" s="15" t="s">
        <v>54</v>
      </c>
      <c r="G25" s="18" t="s">
        <v>13</v>
      </c>
      <c r="H25" s="15" t="s">
        <v>42</v>
      </c>
      <c r="I25" s="15" t="s">
        <v>167</v>
      </c>
      <c r="J25" s="15">
        <f>COUNTIF(Phrasings!$B:$B,A25)</f>
        <v>4</v>
      </c>
    </row>
    <row r="26" spans="1:10" ht="26.4" x14ac:dyDescent="0.3">
      <c r="A26" s="15" t="s">
        <v>168</v>
      </c>
      <c r="B26" s="15" t="s">
        <v>152</v>
      </c>
      <c r="C26" s="15" t="s">
        <v>169</v>
      </c>
      <c r="D26" s="15" t="s">
        <v>170</v>
      </c>
      <c r="E26" s="15" t="s">
        <v>171</v>
      </c>
      <c r="F26" s="15" t="s">
        <v>156</v>
      </c>
      <c r="G26" s="19" t="s">
        <v>15</v>
      </c>
      <c r="H26" s="15" t="s">
        <v>42</v>
      </c>
      <c r="I26" s="15" t="s">
        <v>172</v>
      </c>
      <c r="J26" s="15">
        <f>COUNTIF(Phrasings!$B:$B,A26)</f>
        <v>1</v>
      </c>
    </row>
    <row r="27" spans="1:10" ht="26.4" x14ac:dyDescent="0.3">
      <c r="A27" s="15" t="s">
        <v>173</v>
      </c>
      <c r="B27" s="15" t="s">
        <v>152</v>
      </c>
      <c r="C27" s="15" t="s">
        <v>174</v>
      </c>
      <c r="D27" s="15" t="s">
        <v>175</v>
      </c>
      <c r="E27" s="15" t="s">
        <v>176</v>
      </c>
      <c r="F27" s="15" t="s">
        <v>177</v>
      </c>
      <c r="G27" s="19" t="s">
        <v>15</v>
      </c>
      <c r="H27" s="15" t="s">
        <v>42</v>
      </c>
      <c r="I27" s="15" t="s">
        <v>178</v>
      </c>
      <c r="J27" s="15">
        <f>COUNTIF(Phrasings!$B:$B,A27)</f>
        <v>2</v>
      </c>
    </row>
    <row r="28" spans="1:10" x14ac:dyDescent="0.3">
      <c r="A28" s="15" t="s">
        <v>179</v>
      </c>
      <c r="B28" s="15" t="s">
        <v>152</v>
      </c>
      <c r="C28" s="15" t="s">
        <v>180</v>
      </c>
      <c r="D28" s="15" t="s">
        <v>181</v>
      </c>
      <c r="E28" s="15" t="s">
        <v>182</v>
      </c>
      <c r="F28" s="15" t="s">
        <v>54</v>
      </c>
      <c r="G28" s="18" t="s">
        <v>13</v>
      </c>
      <c r="H28" s="15" t="s">
        <v>42</v>
      </c>
      <c r="I28" s="15" t="s">
        <v>183</v>
      </c>
      <c r="J28" s="15">
        <f>COUNTIF(Phrasings!$B:$B,A28)</f>
        <v>2</v>
      </c>
    </row>
    <row r="29" spans="1:10" ht="26.4" x14ac:dyDescent="0.3">
      <c r="A29" s="15" t="s">
        <v>184</v>
      </c>
      <c r="B29" s="15" t="s">
        <v>152</v>
      </c>
      <c r="C29" s="15" t="s">
        <v>185</v>
      </c>
      <c r="D29" s="15" t="s">
        <v>186</v>
      </c>
      <c r="E29" s="15" t="s">
        <v>187</v>
      </c>
      <c r="F29" s="15" t="s">
        <v>188</v>
      </c>
      <c r="G29" s="19" t="s">
        <v>15</v>
      </c>
      <c r="H29" s="15" t="s">
        <v>75</v>
      </c>
      <c r="I29" s="15" t="s">
        <v>162</v>
      </c>
      <c r="J29" s="15">
        <f>COUNTIF(Phrasings!$B:$B,A29)</f>
        <v>1</v>
      </c>
    </row>
    <row r="30" spans="1:10" ht="26.4" x14ac:dyDescent="0.3">
      <c r="A30" s="15" t="s">
        <v>189</v>
      </c>
      <c r="B30" s="15" t="s">
        <v>190</v>
      </c>
      <c r="C30" s="15" t="s">
        <v>191</v>
      </c>
      <c r="D30" s="15" t="s">
        <v>192</v>
      </c>
      <c r="E30" s="15" t="s">
        <v>193</v>
      </c>
      <c r="F30" s="15" t="s">
        <v>194</v>
      </c>
      <c r="G30" s="16" t="s">
        <v>9</v>
      </c>
      <c r="H30" s="15" t="s">
        <v>42</v>
      </c>
      <c r="I30" s="15" t="s">
        <v>195</v>
      </c>
      <c r="J30" s="15">
        <f>COUNTIF(Phrasings!$B:$B,A30)</f>
        <v>11</v>
      </c>
    </row>
    <row r="31" spans="1:10" ht="26.4" x14ac:dyDescent="0.3">
      <c r="A31" s="15" t="s">
        <v>196</v>
      </c>
      <c r="B31" s="15" t="s">
        <v>190</v>
      </c>
      <c r="C31" s="15" t="s">
        <v>197</v>
      </c>
      <c r="D31" s="15" t="s">
        <v>198</v>
      </c>
      <c r="E31" s="15" t="s">
        <v>199</v>
      </c>
      <c r="F31" s="15" t="s">
        <v>200</v>
      </c>
      <c r="G31" s="16" t="s">
        <v>9</v>
      </c>
      <c r="H31" s="15" t="s">
        <v>42</v>
      </c>
      <c r="I31" s="15" t="s">
        <v>201</v>
      </c>
      <c r="J31" s="15">
        <f>COUNTIF(Phrasings!$B:$B,A31)</f>
        <v>5</v>
      </c>
    </row>
    <row r="32" spans="1:10" ht="26.4" x14ac:dyDescent="0.3">
      <c r="A32" s="15" t="s">
        <v>202</v>
      </c>
      <c r="B32" s="15" t="s">
        <v>190</v>
      </c>
      <c r="C32" s="15" t="s">
        <v>203</v>
      </c>
      <c r="D32" s="15" t="s">
        <v>204</v>
      </c>
      <c r="E32" s="15" t="s">
        <v>205</v>
      </c>
      <c r="F32" s="15" t="s">
        <v>206</v>
      </c>
      <c r="G32" s="16" t="s">
        <v>9</v>
      </c>
      <c r="H32" s="15" t="s">
        <v>42</v>
      </c>
      <c r="I32" s="15" t="s">
        <v>207</v>
      </c>
      <c r="J32" s="15">
        <f>COUNTIF(Phrasings!$B:$B,A32)</f>
        <v>9</v>
      </c>
    </row>
    <row r="33" spans="1:10" ht="26.4" x14ac:dyDescent="0.3">
      <c r="A33" s="15" t="s">
        <v>208</v>
      </c>
      <c r="B33" s="15" t="s">
        <v>190</v>
      </c>
      <c r="C33" s="15" t="s">
        <v>209</v>
      </c>
      <c r="D33" s="15" t="s">
        <v>210</v>
      </c>
      <c r="E33" s="15" t="s">
        <v>211</v>
      </c>
      <c r="F33" s="15" t="s">
        <v>212</v>
      </c>
      <c r="G33" s="16" t="s">
        <v>9</v>
      </c>
      <c r="H33" s="15" t="s">
        <v>42</v>
      </c>
      <c r="I33" s="15" t="s">
        <v>213</v>
      </c>
      <c r="J33" s="15">
        <f>COUNTIF(Phrasings!$B:$B,A33)</f>
        <v>5</v>
      </c>
    </row>
    <row r="34" spans="1:10" ht="26.4" x14ac:dyDescent="0.3">
      <c r="A34" s="15" t="s">
        <v>214</v>
      </c>
      <c r="B34" s="15" t="s">
        <v>190</v>
      </c>
      <c r="C34" s="15" t="s">
        <v>215</v>
      </c>
      <c r="D34" s="15" t="s">
        <v>216</v>
      </c>
      <c r="E34" s="15" t="s">
        <v>217</v>
      </c>
      <c r="F34" s="15" t="s">
        <v>54</v>
      </c>
      <c r="G34" s="18" t="s">
        <v>13</v>
      </c>
      <c r="H34" s="15" t="s">
        <v>42</v>
      </c>
      <c r="I34" s="15" t="s">
        <v>218</v>
      </c>
      <c r="J34" s="15">
        <f>COUNTIF(Phrasings!$B:$B,A34)</f>
        <v>4</v>
      </c>
    </row>
    <row r="35" spans="1:10" ht="26.4" x14ac:dyDescent="0.3">
      <c r="A35" s="15" t="s">
        <v>219</v>
      </c>
      <c r="B35" s="15" t="s">
        <v>190</v>
      </c>
      <c r="C35" s="15" t="s">
        <v>220</v>
      </c>
      <c r="D35" s="15" t="s">
        <v>221</v>
      </c>
      <c r="E35" s="15" t="s">
        <v>222</v>
      </c>
      <c r="F35" s="15" t="s">
        <v>54</v>
      </c>
      <c r="G35" s="18" t="s">
        <v>13</v>
      </c>
      <c r="H35" s="15" t="s">
        <v>98</v>
      </c>
      <c r="I35" s="15" t="s">
        <v>223</v>
      </c>
      <c r="J35" s="15">
        <f>COUNTIF(Phrasings!$B:$B,A35)</f>
        <v>4</v>
      </c>
    </row>
    <row r="36" spans="1:10" x14ac:dyDescent="0.3">
      <c r="A36" s="15" t="s">
        <v>224</v>
      </c>
      <c r="B36" s="15" t="s">
        <v>190</v>
      </c>
      <c r="C36" s="15" t="s">
        <v>225</v>
      </c>
      <c r="D36" s="15" t="s">
        <v>226</v>
      </c>
      <c r="E36" s="15" t="s">
        <v>227</v>
      </c>
      <c r="F36" s="15" t="s">
        <v>54</v>
      </c>
      <c r="G36" s="18" t="s">
        <v>13</v>
      </c>
      <c r="H36" s="15" t="s">
        <v>75</v>
      </c>
      <c r="I36" s="15" t="s">
        <v>228</v>
      </c>
      <c r="J36" s="15">
        <f>COUNTIF(Phrasings!$B:$B,A36)</f>
        <v>2</v>
      </c>
    </row>
    <row r="37" spans="1:10" ht="26.4" x14ac:dyDescent="0.3">
      <c r="A37" s="15" t="s">
        <v>229</v>
      </c>
      <c r="B37" s="15" t="s">
        <v>190</v>
      </c>
      <c r="C37" s="15" t="s">
        <v>230</v>
      </c>
      <c r="D37" s="15" t="s">
        <v>231</v>
      </c>
      <c r="E37" s="15" t="s">
        <v>232</v>
      </c>
      <c r="F37" s="15" t="s">
        <v>54</v>
      </c>
      <c r="G37" s="18" t="s">
        <v>13</v>
      </c>
      <c r="H37" s="15" t="s">
        <v>42</v>
      </c>
      <c r="I37" s="15" t="s">
        <v>233</v>
      </c>
      <c r="J37" s="15">
        <f>COUNTIF(Phrasings!$B:$B,A37)</f>
        <v>4</v>
      </c>
    </row>
    <row r="38" spans="1:10" x14ac:dyDescent="0.3">
      <c r="A38" s="15" t="s">
        <v>234</v>
      </c>
      <c r="B38" s="15" t="s">
        <v>190</v>
      </c>
      <c r="C38" s="15" t="s">
        <v>235</v>
      </c>
      <c r="D38" s="15" t="s">
        <v>236</v>
      </c>
      <c r="E38" s="15" t="s">
        <v>237</v>
      </c>
      <c r="F38" s="15" t="s">
        <v>54</v>
      </c>
      <c r="G38" s="18" t="s">
        <v>13</v>
      </c>
      <c r="H38" s="15" t="s">
        <v>75</v>
      </c>
      <c r="I38" s="15" t="s">
        <v>233</v>
      </c>
      <c r="J38" s="15">
        <f>COUNTIF(Phrasings!$B:$B,A38)</f>
        <v>2</v>
      </c>
    </row>
    <row r="39" spans="1:10" ht="26.4" x14ac:dyDescent="0.3">
      <c r="A39" s="15" t="s">
        <v>238</v>
      </c>
      <c r="B39" s="15" t="s">
        <v>190</v>
      </c>
      <c r="C39" s="15" t="s">
        <v>239</v>
      </c>
      <c r="D39" s="15" t="s">
        <v>240</v>
      </c>
      <c r="E39" s="15" t="s">
        <v>241</v>
      </c>
      <c r="F39" s="15" t="s">
        <v>54</v>
      </c>
      <c r="G39" s="18" t="s">
        <v>13</v>
      </c>
      <c r="H39" s="15" t="s">
        <v>75</v>
      </c>
      <c r="I39" s="15" t="s">
        <v>242</v>
      </c>
      <c r="J39" s="15">
        <f>COUNTIF(Phrasings!$B:$B,A39)</f>
        <v>2</v>
      </c>
    </row>
    <row r="40" spans="1:10" x14ac:dyDescent="0.3">
      <c r="A40" s="15" t="s">
        <v>243</v>
      </c>
      <c r="B40" s="15" t="s">
        <v>190</v>
      </c>
      <c r="C40" s="15" t="s">
        <v>244</v>
      </c>
      <c r="D40" s="15" t="s">
        <v>245</v>
      </c>
      <c r="E40" s="15" t="s">
        <v>246</v>
      </c>
      <c r="F40" s="15" t="s">
        <v>54</v>
      </c>
      <c r="G40" s="18" t="s">
        <v>13</v>
      </c>
      <c r="H40" s="15" t="s">
        <v>75</v>
      </c>
      <c r="I40" s="15" t="s">
        <v>247</v>
      </c>
      <c r="J40" s="15">
        <f>COUNTIF(Phrasings!$B:$B,A40)</f>
        <v>2</v>
      </c>
    </row>
    <row r="41" spans="1:10" x14ac:dyDescent="0.3">
      <c r="A41" s="15" t="s">
        <v>248</v>
      </c>
      <c r="B41" s="15" t="s">
        <v>249</v>
      </c>
      <c r="C41" s="15" t="s">
        <v>250</v>
      </c>
      <c r="D41" s="15" t="s">
        <v>251</v>
      </c>
      <c r="E41" s="15" t="s">
        <v>252</v>
      </c>
      <c r="F41" s="15" t="s">
        <v>253</v>
      </c>
      <c r="G41" s="16" t="s">
        <v>9</v>
      </c>
      <c r="H41" s="15" t="s">
        <v>42</v>
      </c>
      <c r="I41" s="15" t="s">
        <v>254</v>
      </c>
      <c r="J41" s="15">
        <f>COUNTIF(Phrasings!$B:$B,A41)</f>
        <v>5</v>
      </c>
    </row>
    <row r="42" spans="1:10" x14ac:dyDescent="0.3">
      <c r="A42" s="15" t="s">
        <v>255</v>
      </c>
      <c r="B42" s="15" t="s">
        <v>249</v>
      </c>
      <c r="C42" s="15" t="s">
        <v>256</v>
      </c>
      <c r="D42" s="15" t="s">
        <v>257</v>
      </c>
      <c r="E42" s="15" t="s">
        <v>258</v>
      </c>
      <c r="F42" s="15" t="s">
        <v>259</v>
      </c>
      <c r="G42" s="16" t="s">
        <v>9</v>
      </c>
      <c r="H42" s="15" t="s">
        <v>42</v>
      </c>
      <c r="I42" s="15" t="s">
        <v>260</v>
      </c>
      <c r="J42" s="15">
        <f>COUNTIF(Phrasings!$B:$B,A42)</f>
        <v>10</v>
      </c>
    </row>
    <row r="43" spans="1:10" ht="26.4" x14ac:dyDescent="0.3">
      <c r="A43" s="15" t="s">
        <v>261</v>
      </c>
      <c r="B43" s="15" t="s">
        <v>249</v>
      </c>
      <c r="C43" s="15" t="s">
        <v>262</v>
      </c>
      <c r="D43" s="15" t="s">
        <v>263</v>
      </c>
      <c r="E43" s="15" t="s">
        <v>264</v>
      </c>
      <c r="F43" s="15" t="s">
        <v>265</v>
      </c>
      <c r="G43" s="17" t="s">
        <v>11</v>
      </c>
      <c r="H43" s="15" t="s">
        <v>42</v>
      </c>
      <c r="I43" s="15" t="s">
        <v>266</v>
      </c>
      <c r="J43" s="15">
        <f>COUNTIF(Phrasings!$B:$B,A43)</f>
        <v>4</v>
      </c>
    </row>
    <row r="44" spans="1:10" x14ac:dyDescent="0.3">
      <c r="A44" s="15" t="s">
        <v>267</v>
      </c>
      <c r="B44" s="15" t="s">
        <v>249</v>
      </c>
      <c r="C44" s="15" t="s">
        <v>268</v>
      </c>
      <c r="D44" s="15" t="s">
        <v>269</v>
      </c>
      <c r="E44" s="15" t="s">
        <v>270</v>
      </c>
      <c r="F44" s="15" t="s">
        <v>271</v>
      </c>
      <c r="G44" s="16" t="s">
        <v>9</v>
      </c>
      <c r="H44" s="15" t="s">
        <v>42</v>
      </c>
      <c r="I44" s="15" t="s">
        <v>272</v>
      </c>
      <c r="J44" s="15">
        <f>COUNTIF(Phrasings!$B:$B,A44)</f>
        <v>6</v>
      </c>
    </row>
    <row r="45" spans="1:10" ht="26.4" x14ac:dyDescent="0.3">
      <c r="A45" s="15" t="s">
        <v>273</v>
      </c>
      <c r="B45" s="15" t="s">
        <v>249</v>
      </c>
      <c r="C45" s="15" t="s">
        <v>274</v>
      </c>
      <c r="D45" s="15" t="s">
        <v>275</v>
      </c>
      <c r="E45" s="15" t="s">
        <v>276</v>
      </c>
      <c r="F45" s="15" t="s">
        <v>277</v>
      </c>
      <c r="G45" s="16" t="s">
        <v>9</v>
      </c>
      <c r="H45" s="15" t="s">
        <v>42</v>
      </c>
      <c r="I45" s="15" t="s">
        <v>278</v>
      </c>
      <c r="J45" s="15">
        <f>COUNTIF(Phrasings!$B:$B,A45)</f>
        <v>7</v>
      </c>
    </row>
    <row r="46" spans="1:10" x14ac:dyDescent="0.3">
      <c r="A46" s="15" t="s">
        <v>279</v>
      </c>
      <c r="B46" s="15" t="s">
        <v>249</v>
      </c>
      <c r="C46" s="15" t="s">
        <v>280</v>
      </c>
      <c r="D46" s="15" t="s">
        <v>281</v>
      </c>
      <c r="E46" s="15" t="s">
        <v>282</v>
      </c>
      <c r="F46" s="15" t="s">
        <v>54</v>
      </c>
      <c r="G46" s="18" t="s">
        <v>13</v>
      </c>
      <c r="H46" s="15" t="s">
        <v>42</v>
      </c>
      <c r="I46" s="15" t="s">
        <v>283</v>
      </c>
      <c r="J46" s="15">
        <f>COUNTIF(Phrasings!$B:$B,A46)</f>
        <v>3</v>
      </c>
    </row>
    <row r="47" spans="1:10" x14ac:dyDescent="0.3">
      <c r="A47" s="15" t="s">
        <v>284</v>
      </c>
      <c r="B47" s="15" t="s">
        <v>249</v>
      </c>
      <c r="C47" s="15" t="s">
        <v>285</v>
      </c>
      <c r="D47" s="15" t="s">
        <v>286</v>
      </c>
      <c r="E47" s="15" t="s">
        <v>287</v>
      </c>
      <c r="F47" s="15" t="s">
        <v>54</v>
      </c>
      <c r="G47" s="18" t="s">
        <v>13</v>
      </c>
      <c r="H47" s="15" t="s">
        <v>75</v>
      </c>
      <c r="I47" s="15" t="s">
        <v>288</v>
      </c>
      <c r="J47" s="15">
        <f>COUNTIF(Phrasings!$B:$B,A47)</f>
        <v>2</v>
      </c>
    </row>
    <row r="48" spans="1:10" x14ac:dyDescent="0.3">
      <c r="A48" s="15" t="s">
        <v>289</v>
      </c>
      <c r="B48" s="15" t="s">
        <v>249</v>
      </c>
      <c r="C48" s="15" t="s">
        <v>290</v>
      </c>
      <c r="D48" s="15" t="s">
        <v>291</v>
      </c>
      <c r="E48" s="15" t="s">
        <v>292</v>
      </c>
      <c r="F48" s="15" t="s">
        <v>54</v>
      </c>
      <c r="G48" s="18" t="s">
        <v>13</v>
      </c>
      <c r="H48" s="15" t="s">
        <v>75</v>
      </c>
      <c r="I48" s="15" t="s">
        <v>242</v>
      </c>
      <c r="J48" s="15">
        <f>COUNTIF(Phrasings!$B:$B,A48)</f>
        <v>2</v>
      </c>
    </row>
    <row r="49" spans="1:10" x14ac:dyDescent="0.3">
      <c r="A49" s="15" t="s">
        <v>293</v>
      </c>
      <c r="B49" s="15" t="s">
        <v>249</v>
      </c>
      <c r="C49" s="15" t="s">
        <v>294</v>
      </c>
      <c r="D49" s="15" t="s">
        <v>295</v>
      </c>
      <c r="E49" s="15" t="s">
        <v>296</v>
      </c>
      <c r="F49" s="15" t="s">
        <v>156</v>
      </c>
      <c r="G49" s="19" t="s">
        <v>15</v>
      </c>
      <c r="H49" s="15" t="s">
        <v>42</v>
      </c>
      <c r="I49" s="15" t="s">
        <v>297</v>
      </c>
      <c r="J49" s="15">
        <f>COUNTIF(Phrasings!$B:$B,A49)</f>
        <v>3</v>
      </c>
    </row>
    <row r="50" spans="1:10" ht="26.4" x14ac:dyDescent="0.3">
      <c r="A50" s="15" t="s">
        <v>298</v>
      </c>
      <c r="B50" s="15" t="s">
        <v>299</v>
      </c>
      <c r="C50" s="15" t="s">
        <v>300</v>
      </c>
      <c r="D50" s="15" t="s">
        <v>301</v>
      </c>
      <c r="E50" s="15" t="s">
        <v>302</v>
      </c>
      <c r="F50" s="15" t="s">
        <v>303</v>
      </c>
      <c r="G50" s="16" t="s">
        <v>9</v>
      </c>
      <c r="H50" s="15" t="s">
        <v>42</v>
      </c>
      <c r="I50" s="15" t="s">
        <v>304</v>
      </c>
      <c r="J50" s="15">
        <f>COUNTIF(Phrasings!$B:$B,A50)</f>
        <v>5</v>
      </c>
    </row>
    <row r="51" spans="1:10" x14ac:dyDescent="0.3">
      <c r="A51" s="15" t="s">
        <v>305</v>
      </c>
      <c r="B51" s="15" t="s">
        <v>299</v>
      </c>
      <c r="C51" s="15" t="s">
        <v>306</v>
      </c>
      <c r="D51" s="15" t="s">
        <v>307</v>
      </c>
      <c r="E51" s="15" t="s">
        <v>308</v>
      </c>
      <c r="F51" s="15" t="s">
        <v>309</v>
      </c>
      <c r="G51" s="16" t="s">
        <v>9</v>
      </c>
      <c r="H51" s="15" t="s">
        <v>42</v>
      </c>
      <c r="I51" s="15" t="s">
        <v>310</v>
      </c>
      <c r="J51" s="15">
        <f>COUNTIF(Phrasings!$B:$B,A51)</f>
        <v>4</v>
      </c>
    </row>
    <row r="52" spans="1:10" ht="26.4" x14ac:dyDescent="0.3">
      <c r="A52" s="15" t="s">
        <v>311</v>
      </c>
      <c r="B52" s="15" t="s">
        <v>299</v>
      </c>
      <c r="C52" s="15" t="s">
        <v>312</v>
      </c>
      <c r="D52" s="15" t="s">
        <v>313</v>
      </c>
      <c r="E52" s="15" t="s">
        <v>314</v>
      </c>
      <c r="F52" s="15" t="s">
        <v>54</v>
      </c>
      <c r="G52" s="18" t="s">
        <v>13</v>
      </c>
      <c r="H52" s="15" t="s">
        <v>42</v>
      </c>
      <c r="I52" s="15" t="s">
        <v>315</v>
      </c>
      <c r="J52" s="15">
        <f>COUNTIF(Phrasings!$B:$B,A52)</f>
        <v>5</v>
      </c>
    </row>
    <row r="53" spans="1:10" x14ac:dyDescent="0.3">
      <c r="A53" s="15" t="s">
        <v>316</v>
      </c>
      <c r="B53" s="15" t="s">
        <v>299</v>
      </c>
      <c r="C53" s="15" t="s">
        <v>317</v>
      </c>
      <c r="D53" s="15" t="s">
        <v>318</v>
      </c>
      <c r="E53" s="15" t="s">
        <v>319</v>
      </c>
      <c r="F53" s="15" t="s">
        <v>54</v>
      </c>
      <c r="G53" s="18" t="s">
        <v>13</v>
      </c>
      <c r="H53" s="15" t="s">
        <v>75</v>
      </c>
      <c r="I53" s="15" t="s">
        <v>320</v>
      </c>
      <c r="J53" s="15">
        <f>COUNTIF(Phrasings!$B:$B,A53)</f>
        <v>1</v>
      </c>
    </row>
    <row r="54" spans="1:10" x14ac:dyDescent="0.3">
      <c r="A54" s="15" t="s">
        <v>321</v>
      </c>
      <c r="B54" s="15" t="s">
        <v>299</v>
      </c>
      <c r="C54" s="15" t="s">
        <v>322</v>
      </c>
      <c r="D54" s="15" t="s">
        <v>323</v>
      </c>
      <c r="E54" s="15" t="s">
        <v>324</v>
      </c>
      <c r="F54" s="15" t="s">
        <v>54</v>
      </c>
      <c r="G54" s="18" t="s">
        <v>13</v>
      </c>
      <c r="H54" s="15" t="s">
        <v>42</v>
      </c>
      <c r="I54" s="15" t="s">
        <v>325</v>
      </c>
      <c r="J54" s="15">
        <f>COUNTIF(Phrasings!$B:$B,A54)</f>
        <v>1</v>
      </c>
    </row>
    <row r="55" spans="1:10" ht="26.4" x14ac:dyDescent="0.3">
      <c r="A55" s="15" t="s">
        <v>326</v>
      </c>
      <c r="B55" s="15" t="s">
        <v>327</v>
      </c>
      <c r="C55" s="15" t="s">
        <v>328</v>
      </c>
      <c r="D55" s="15" t="s">
        <v>329</v>
      </c>
      <c r="E55" s="15" t="s">
        <v>330</v>
      </c>
      <c r="F55" s="15" t="s">
        <v>331</v>
      </c>
      <c r="G55" s="16" t="s">
        <v>9</v>
      </c>
      <c r="H55" s="15" t="s">
        <v>42</v>
      </c>
      <c r="I55" s="15" t="s">
        <v>332</v>
      </c>
      <c r="J55" s="15">
        <f>COUNTIF(Phrasings!$B:$B,A55)</f>
        <v>10</v>
      </c>
    </row>
    <row r="56" spans="1:10" x14ac:dyDescent="0.3">
      <c r="A56" s="15" t="s">
        <v>333</v>
      </c>
      <c r="B56" s="15" t="s">
        <v>327</v>
      </c>
      <c r="C56" s="15" t="s">
        <v>334</v>
      </c>
      <c r="D56" s="15" t="s">
        <v>335</v>
      </c>
      <c r="E56" s="15" t="s">
        <v>336</v>
      </c>
      <c r="F56" s="15" t="s">
        <v>54</v>
      </c>
      <c r="G56" s="18" t="s">
        <v>13</v>
      </c>
      <c r="H56" s="15" t="s">
        <v>75</v>
      </c>
      <c r="I56" s="15" t="s">
        <v>337</v>
      </c>
      <c r="J56" s="15">
        <f>COUNTIF(Phrasings!$B:$B,A56)</f>
        <v>2</v>
      </c>
    </row>
    <row r="57" spans="1:10" ht="26.4" x14ac:dyDescent="0.3">
      <c r="A57" s="15" t="s">
        <v>338</v>
      </c>
      <c r="B57" s="15" t="s">
        <v>327</v>
      </c>
      <c r="C57" s="15" t="s">
        <v>339</v>
      </c>
      <c r="D57" s="15" t="s">
        <v>340</v>
      </c>
      <c r="E57" s="15" t="s">
        <v>341</v>
      </c>
      <c r="F57" s="15" t="s">
        <v>342</v>
      </c>
      <c r="G57" s="16" t="s">
        <v>9</v>
      </c>
      <c r="H57" s="15" t="s">
        <v>42</v>
      </c>
      <c r="I57" s="15" t="s">
        <v>343</v>
      </c>
      <c r="J57" s="15">
        <f>COUNTIF(Phrasings!$B:$B,A57)</f>
        <v>4</v>
      </c>
    </row>
    <row r="58" spans="1:10" ht="26.4" x14ac:dyDescent="0.3">
      <c r="A58" s="15" t="s">
        <v>344</v>
      </c>
      <c r="B58" s="15" t="s">
        <v>327</v>
      </c>
      <c r="C58" s="15" t="s">
        <v>345</v>
      </c>
      <c r="D58" s="15" t="s">
        <v>346</v>
      </c>
      <c r="E58" s="15" t="s">
        <v>347</v>
      </c>
      <c r="F58" s="15" t="s">
        <v>348</v>
      </c>
      <c r="G58" s="16" t="s">
        <v>9</v>
      </c>
      <c r="H58" s="15" t="s">
        <v>42</v>
      </c>
      <c r="I58" s="15" t="s">
        <v>349</v>
      </c>
      <c r="J58" s="15">
        <f>COUNTIF(Phrasings!$B:$B,A58)</f>
        <v>3</v>
      </c>
    </row>
    <row r="59" spans="1:10" x14ac:dyDescent="0.3">
      <c r="A59" s="15" t="s">
        <v>350</v>
      </c>
      <c r="B59" s="15" t="s">
        <v>327</v>
      </c>
      <c r="C59" s="15" t="s">
        <v>351</v>
      </c>
      <c r="D59" s="15" t="s">
        <v>352</v>
      </c>
      <c r="E59" s="15" t="s">
        <v>353</v>
      </c>
      <c r="F59" s="15" t="s">
        <v>54</v>
      </c>
      <c r="G59" s="18" t="s">
        <v>13</v>
      </c>
      <c r="H59" s="15" t="s">
        <v>75</v>
      </c>
      <c r="I59" s="15" t="s">
        <v>354</v>
      </c>
      <c r="J59" s="15">
        <f>COUNTIF(Phrasings!$B:$B,A59)</f>
        <v>2</v>
      </c>
    </row>
    <row r="60" spans="1:10" x14ac:dyDescent="0.3">
      <c r="A60" s="15" t="s">
        <v>355</v>
      </c>
      <c r="B60" s="15" t="s">
        <v>327</v>
      </c>
      <c r="C60" s="15" t="s">
        <v>356</v>
      </c>
      <c r="D60" s="15" t="s">
        <v>357</v>
      </c>
      <c r="E60" s="15" t="s">
        <v>358</v>
      </c>
      <c r="F60" s="15" t="s">
        <v>54</v>
      </c>
      <c r="G60" s="18" t="s">
        <v>13</v>
      </c>
      <c r="H60" s="15" t="s">
        <v>75</v>
      </c>
      <c r="I60" s="15" t="s">
        <v>354</v>
      </c>
      <c r="J60" s="15">
        <f>COUNTIF(Phrasings!$B:$B,A60)</f>
        <v>1</v>
      </c>
    </row>
    <row r="61" spans="1:10" ht="26.4" x14ac:dyDescent="0.3">
      <c r="A61" s="15" t="s">
        <v>359</v>
      </c>
      <c r="B61" s="15" t="s">
        <v>327</v>
      </c>
      <c r="C61" s="15" t="s">
        <v>360</v>
      </c>
      <c r="D61" s="15" t="s">
        <v>361</v>
      </c>
      <c r="E61" s="15" t="s">
        <v>362</v>
      </c>
      <c r="F61" s="15" t="s">
        <v>54</v>
      </c>
      <c r="G61" s="18" t="s">
        <v>13</v>
      </c>
      <c r="H61" s="15" t="s">
        <v>75</v>
      </c>
      <c r="I61" s="15" t="s">
        <v>363</v>
      </c>
      <c r="J61" s="15">
        <f>COUNTIF(Phrasings!$B:$B,A61)</f>
        <v>2</v>
      </c>
    </row>
    <row r="62" spans="1:10" x14ac:dyDescent="0.3">
      <c r="A62" s="15" t="s">
        <v>364</v>
      </c>
      <c r="B62" s="15" t="s">
        <v>365</v>
      </c>
      <c r="C62" s="15" t="s">
        <v>366</v>
      </c>
      <c r="D62" s="15" t="s">
        <v>367</v>
      </c>
      <c r="E62" s="15" t="s">
        <v>368</v>
      </c>
      <c r="F62" s="15" t="s">
        <v>54</v>
      </c>
      <c r="G62" s="18" t="s">
        <v>13</v>
      </c>
      <c r="H62" s="15" t="s">
        <v>42</v>
      </c>
      <c r="I62" s="15" t="s">
        <v>369</v>
      </c>
      <c r="J62" s="15">
        <f>COUNTIF(Phrasings!$B:$B,A62)</f>
        <v>3</v>
      </c>
    </row>
    <row r="63" spans="1:10" x14ac:dyDescent="0.3">
      <c r="A63" s="15" t="s">
        <v>370</v>
      </c>
      <c r="B63" s="15" t="s">
        <v>365</v>
      </c>
      <c r="C63" s="15" t="s">
        <v>371</v>
      </c>
      <c r="D63" s="15" t="s">
        <v>372</v>
      </c>
      <c r="E63" s="15" t="s">
        <v>373</v>
      </c>
      <c r="F63" s="15" t="s">
        <v>374</v>
      </c>
      <c r="G63" s="17" t="s">
        <v>11</v>
      </c>
      <c r="H63" s="15" t="s">
        <v>42</v>
      </c>
      <c r="I63" s="15" t="s">
        <v>375</v>
      </c>
      <c r="J63" s="15">
        <f>COUNTIF(Phrasings!$B:$B,A63)</f>
        <v>2</v>
      </c>
    </row>
    <row r="64" spans="1:10" x14ac:dyDescent="0.3">
      <c r="A64" s="15" t="s">
        <v>376</v>
      </c>
      <c r="B64" s="15" t="s">
        <v>365</v>
      </c>
      <c r="C64" s="15" t="s">
        <v>377</v>
      </c>
      <c r="D64" s="15" t="s">
        <v>378</v>
      </c>
      <c r="E64" s="15" t="s">
        <v>379</v>
      </c>
      <c r="F64" s="15" t="s">
        <v>54</v>
      </c>
      <c r="G64" s="18" t="s">
        <v>13</v>
      </c>
      <c r="H64" s="15" t="s">
        <v>42</v>
      </c>
      <c r="I64" s="15" t="s">
        <v>380</v>
      </c>
      <c r="J64" s="15">
        <f>COUNTIF(Phrasings!$B:$B,A64)</f>
        <v>2</v>
      </c>
    </row>
    <row r="65" spans="1:10" ht="26.4" x14ac:dyDescent="0.3">
      <c r="A65" s="15" t="s">
        <v>381</v>
      </c>
      <c r="B65" s="15" t="s">
        <v>365</v>
      </c>
      <c r="C65" s="15" t="s">
        <v>382</v>
      </c>
      <c r="D65" s="15" t="s">
        <v>383</v>
      </c>
      <c r="E65" s="15" t="s">
        <v>384</v>
      </c>
      <c r="F65" s="15" t="s">
        <v>54</v>
      </c>
      <c r="G65" s="18" t="s">
        <v>13</v>
      </c>
      <c r="H65" s="15" t="s">
        <v>42</v>
      </c>
      <c r="I65" s="15" t="s">
        <v>385</v>
      </c>
      <c r="J65" s="15">
        <f>COUNTIF(Phrasings!$B:$B,A65)</f>
        <v>2</v>
      </c>
    </row>
    <row r="66" spans="1:10" x14ac:dyDescent="0.3">
      <c r="A66" s="15" t="s">
        <v>386</v>
      </c>
      <c r="B66" s="15" t="s">
        <v>365</v>
      </c>
      <c r="C66" s="15" t="s">
        <v>387</v>
      </c>
      <c r="D66" s="15" t="s">
        <v>388</v>
      </c>
      <c r="E66" s="15" t="s">
        <v>389</v>
      </c>
      <c r="F66" s="15" t="s">
        <v>54</v>
      </c>
      <c r="G66" s="18" t="s">
        <v>13</v>
      </c>
      <c r="H66" s="15" t="s">
        <v>42</v>
      </c>
      <c r="I66" s="15" t="s">
        <v>390</v>
      </c>
      <c r="J66" s="15">
        <f>COUNTIF(Phrasings!$B:$B,A66)</f>
        <v>3</v>
      </c>
    </row>
    <row r="67" spans="1:10" ht="26.4" x14ac:dyDescent="0.3">
      <c r="A67" s="15" t="s">
        <v>391</v>
      </c>
      <c r="B67" s="15" t="s">
        <v>365</v>
      </c>
      <c r="C67" s="15" t="s">
        <v>392</v>
      </c>
      <c r="D67" s="15" t="s">
        <v>393</v>
      </c>
      <c r="E67" s="15" t="s">
        <v>394</v>
      </c>
      <c r="F67" s="15" t="s">
        <v>54</v>
      </c>
      <c r="G67" s="18" t="s">
        <v>13</v>
      </c>
      <c r="H67" s="15" t="s">
        <v>42</v>
      </c>
      <c r="I67" s="15" t="s">
        <v>395</v>
      </c>
      <c r="J67" s="15">
        <f>COUNTIF(Phrasings!$B:$B,A67)</f>
        <v>3</v>
      </c>
    </row>
    <row r="68" spans="1:10" ht="26.4" x14ac:dyDescent="0.3">
      <c r="A68" s="15" t="s">
        <v>396</v>
      </c>
      <c r="B68" s="15" t="s">
        <v>365</v>
      </c>
      <c r="C68" s="15" t="s">
        <v>397</v>
      </c>
      <c r="D68" s="15" t="s">
        <v>398</v>
      </c>
      <c r="E68" s="15" t="s">
        <v>399</v>
      </c>
      <c r="F68" s="15" t="s">
        <v>54</v>
      </c>
      <c r="G68" s="18" t="s">
        <v>13</v>
      </c>
      <c r="H68" s="15" t="s">
        <v>42</v>
      </c>
      <c r="I68" s="15" t="s">
        <v>400</v>
      </c>
      <c r="J68" s="15">
        <f>COUNTIF(Phrasings!$B:$B,A68)</f>
        <v>3</v>
      </c>
    </row>
    <row r="69" spans="1:10" ht="26.4" x14ac:dyDescent="0.3">
      <c r="A69" s="15" t="s">
        <v>401</v>
      </c>
      <c r="B69" s="15" t="s">
        <v>365</v>
      </c>
      <c r="C69" s="15" t="s">
        <v>402</v>
      </c>
      <c r="D69" s="15" t="s">
        <v>403</v>
      </c>
      <c r="E69" s="15" t="s">
        <v>404</v>
      </c>
      <c r="F69" s="15" t="s">
        <v>405</v>
      </c>
      <c r="G69" s="19" t="s">
        <v>15</v>
      </c>
      <c r="H69" s="15" t="s">
        <v>42</v>
      </c>
      <c r="I69" s="15" t="s">
        <v>406</v>
      </c>
      <c r="J69" s="15">
        <f>COUNTIF(Phrasings!$B:$B,A69)</f>
        <v>2</v>
      </c>
    </row>
    <row r="70" spans="1:10" x14ac:dyDescent="0.3">
      <c r="A70" s="15" t="s">
        <v>407</v>
      </c>
      <c r="B70" s="15" t="s">
        <v>365</v>
      </c>
      <c r="C70" s="15" t="s">
        <v>408</v>
      </c>
      <c r="D70" s="15" t="s">
        <v>409</v>
      </c>
      <c r="E70" s="15" t="s">
        <v>410</v>
      </c>
      <c r="F70" s="15" t="s">
        <v>54</v>
      </c>
      <c r="G70" s="18" t="s">
        <v>13</v>
      </c>
      <c r="H70" s="15" t="s">
        <v>42</v>
      </c>
      <c r="I70" s="15" t="s">
        <v>411</v>
      </c>
      <c r="J70" s="15">
        <f>COUNTIF(Phrasings!$B:$B,A70)</f>
        <v>1</v>
      </c>
    </row>
    <row r="71" spans="1:10" x14ac:dyDescent="0.3">
      <c r="A71" s="15" t="s">
        <v>412</v>
      </c>
      <c r="B71" s="15" t="s">
        <v>365</v>
      </c>
      <c r="C71" s="15" t="s">
        <v>413</v>
      </c>
      <c r="D71" s="15" t="s">
        <v>414</v>
      </c>
      <c r="E71" s="15" t="s">
        <v>415</v>
      </c>
      <c r="F71" s="15" t="s">
        <v>54</v>
      </c>
      <c r="G71" s="18" t="s">
        <v>13</v>
      </c>
      <c r="H71" s="15" t="s">
        <v>42</v>
      </c>
      <c r="I71" s="15" t="s">
        <v>416</v>
      </c>
      <c r="J71" s="15">
        <f>COUNTIF(Phrasings!$B:$B,A71)</f>
        <v>1</v>
      </c>
    </row>
    <row r="72" spans="1:10" x14ac:dyDescent="0.3">
      <c r="A72" s="15" t="s">
        <v>417</v>
      </c>
      <c r="B72" s="15" t="s">
        <v>365</v>
      </c>
      <c r="C72" s="15" t="s">
        <v>418</v>
      </c>
      <c r="D72" s="15" t="s">
        <v>419</v>
      </c>
      <c r="E72" s="15" t="s">
        <v>420</v>
      </c>
      <c r="F72" s="15" t="s">
        <v>54</v>
      </c>
      <c r="G72" s="18" t="s">
        <v>13</v>
      </c>
      <c r="H72" s="15" t="s">
        <v>75</v>
      </c>
      <c r="I72" s="15" t="s">
        <v>380</v>
      </c>
      <c r="J72" s="15">
        <f>COUNTIF(Phrasings!$B:$B,A72)</f>
        <v>1</v>
      </c>
    </row>
    <row r="73" spans="1:10" ht="26.4" x14ac:dyDescent="0.3">
      <c r="A73" s="15" t="s">
        <v>421</v>
      </c>
      <c r="B73" s="15" t="s">
        <v>422</v>
      </c>
      <c r="C73" s="15" t="s">
        <v>423</v>
      </c>
      <c r="D73" s="15" t="s">
        <v>424</v>
      </c>
      <c r="E73" s="15" t="s">
        <v>425</v>
      </c>
      <c r="F73" s="15" t="s">
        <v>426</v>
      </c>
      <c r="G73" s="19" t="s">
        <v>15</v>
      </c>
      <c r="H73" s="15" t="s">
        <v>42</v>
      </c>
      <c r="I73" s="15" t="s">
        <v>427</v>
      </c>
      <c r="J73" s="15">
        <f>COUNTIF(Phrasings!$B:$B,A73)</f>
        <v>3</v>
      </c>
    </row>
    <row r="74" spans="1:10" ht="26.4" x14ac:dyDescent="0.3">
      <c r="A74" s="15" t="s">
        <v>428</v>
      </c>
      <c r="B74" s="15" t="s">
        <v>422</v>
      </c>
      <c r="C74" s="15" t="s">
        <v>429</v>
      </c>
      <c r="D74" s="15" t="s">
        <v>430</v>
      </c>
      <c r="E74" s="15" t="s">
        <v>431</v>
      </c>
      <c r="F74" s="15" t="s">
        <v>54</v>
      </c>
      <c r="G74" s="18" t="s">
        <v>13</v>
      </c>
      <c r="H74" s="15" t="s">
        <v>42</v>
      </c>
      <c r="I74" s="15" t="s">
        <v>432</v>
      </c>
      <c r="J74" s="15">
        <f>COUNTIF(Phrasings!$B:$B,A74)</f>
        <v>2</v>
      </c>
    </row>
    <row r="75" spans="1:10" ht="26.4" x14ac:dyDescent="0.3">
      <c r="A75" s="15" t="s">
        <v>433</v>
      </c>
      <c r="B75" s="15" t="s">
        <v>422</v>
      </c>
      <c r="C75" s="15" t="s">
        <v>434</v>
      </c>
      <c r="D75" s="15" t="s">
        <v>435</v>
      </c>
      <c r="E75" s="15" t="s">
        <v>436</v>
      </c>
      <c r="F75" s="15" t="s">
        <v>54</v>
      </c>
      <c r="G75" s="18" t="s">
        <v>13</v>
      </c>
      <c r="H75" s="15" t="s">
        <v>75</v>
      </c>
      <c r="I75" s="15" t="s">
        <v>437</v>
      </c>
      <c r="J75" s="15">
        <f>COUNTIF(Phrasings!$B:$B,A75)</f>
        <v>2</v>
      </c>
    </row>
    <row r="76" spans="1:10" x14ac:dyDescent="0.3">
      <c r="A76" s="15" t="s">
        <v>438</v>
      </c>
      <c r="B76" s="15" t="s">
        <v>422</v>
      </c>
      <c r="C76" s="15" t="s">
        <v>439</v>
      </c>
      <c r="D76" s="15" t="s">
        <v>440</v>
      </c>
      <c r="E76" s="15" t="s">
        <v>441</v>
      </c>
      <c r="F76" s="15" t="s">
        <v>54</v>
      </c>
      <c r="G76" s="18" t="s">
        <v>13</v>
      </c>
      <c r="H76" s="15" t="s">
        <v>42</v>
      </c>
      <c r="I76" s="15" t="s">
        <v>442</v>
      </c>
      <c r="J76" s="15">
        <f>COUNTIF(Phrasings!$B:$B,A76)</f>
        <v>1</v>
      </c>
    </row>
    <row r="77" spans="1:10" ht="26.4" x14ac:dyDescent="0.3">
      <c r="A77" s="15" t="s">
        <v>443</v>
      </c>
      <c r="B77" s="15" t="s">
        <v>422</v>
      </c>
      <c r="C77" s="15" t="s">
        <v>444</v>
      </c>
      <c r="D77" s="15" t="s">
        <v>445</v>
      </c>
      <c r="E77" s="15" t="s">
        <v>446</v>
      </c>
      <c r="F77" s="15" t="s">
        <v>54</v>
      </c>
      <c r="G77" s="18" t="s">
        <v>13</v>
      </c>
      <c r="H77" s="15" t="s">
        <v>42</v>
      </c>
      <c r="I77" s="15" t="s">
        <v>447</v>
      </c>
      <c r="J77" s="15">
        <f>COUNTIF(Phrasings!$B:$B,A77)</f>
        <v>3</v>
      </c>
    </row>
    <row r="78" spans="1:10" ht="26.4" x14ac:dyDescent="0.3">
      <c r="A78" s="15" t="s">
        <v>448</v>
      </c>
      <c r="B78" s="15" t="s">
        <v>422</v>
      </c>
      <c r="C78" s="15" t="s">
        <v>449</v>
      </c>
      <c r="D78" s="15" t="s">
        <v>450</v>
      </c>
      <c r="E78" s="15" t="s">
        <v>451</v>
      </c>
      <c r="F78" s="15" t="s">
        <v>452</v>
      </c>
      <c r="G78" s="17" t="s">
        <v>11</v>
      </c>
      <c r="H78" s="15" t="s">
        <v>42</v>
      </c>
      <c r="I78" s="15" t="s">
        <v>453</v>
      </c>
      <c r="J78" s="15">
        <f>COUNTIF(Phrasings!$B:$B,A78)</f>
        <v>2</v>
      </c>
    </row>
    <row r="79" spans="1:10" ht="26.4" x14ac:dyDescent="0.3">
      <c r="A79" s="15" t="s">
        <v>454</v>
      </c>
      <c r="B79" s="15" t="s">
        <v>422</v>
      </c>
      <c r="C79" s="15" t="s">
        <v>455</v>
      </c>
      <c r="D79" s="15" t="s">
        <v>456</v>
      </c>
      <c r="E79" s="15" t="s">
        <v>457</v>
      </c>
      <c r="F79" s="15" t="s">
        <v>54</v>
      </c>
      <c r="G79" s="18" t="s">
        <v>13</v>
      </c>
      <c r="H79" s="15" t="s">
        <v>75</v>
      </c>
      <c r="I79" s="15" t="s">
        <v>458</v>
      </c>
      <c r="J79" s="15">
        <f>COUNTIF(Phrasings!$B:$B,A79)</f>
        <v>1</v>
      </c>
    </row>
    <row r="80" spans="1:10" x14ac:dyDescent="0.3">
      <c r="A80" s="15" t="s">
        <v>459</v>
      </c>
      <c r="B80" s="15" t="s">
        <v>460</v>
      </c>
      <c r="C80" s="15" t="s">
        <v>461</v>
      </c>
      <c r="D80" s="15" t="s">
        <v>462</v>
      </c>
      <c r="E80" s="15" t="s">
        <v>463</v>
      </c>
      <c r="F80" s="15" t="s">
        <v>464</v>
      </c>
      <c r="G80" s="19" t="s">
        <v>15</v>
      </c>
      <c r="H80" s="15" t="s">
        <v>42</v>
      </c>
      <c r="I80" s="15" t="s">
        <v>465</v>
      </c>
      <c r="J80" s="15">
        <f>COUNTIF(Phrasings!$B:$B,A80)</f>
        <v>2</v>
      </c>
    </row>
    <row r="81" spans="1:10" x14ac:dyDescent="0.3">
      <c r="A81" s="15" t="s">
        <v>466</v>
      </c>
      <c r="B81" s="15" t="s">
        <v>460</v>
      </c>
      <c r="C81" s="15" t="s">
        <v>467</v>
      </c>
      <c r="D81" s="15" t="s">
        <v>468</v>
      </c>
      <c r="E81" s="15" t="s">
        <v>469</v>
      </c>
      <c r="F81" s="15" t="s">
        <v>470</v>
      </c>
      <c r="G81" s="19" t="s">
        <v>15</v>
      </c>
      <c r="H81" s="15" t="s">
        <v>42</v>
      </c>
      <c r="I81" s="15" t="s">
        <v>471</v>
      </c>
      <c r="J81" s="15">
        <f>COUNTIF(Phrasings!$B:$B,A81)</f>
        <v>2</v>
      </c>
    </row>
    <row r="82" spans="1:10" x14ac:dyDescent="0.3">
      <c r="A82" s="15" t="s">
        <v>472</v>
      </c>
      <c r="B82" s="15" t="s">
        <v>460</v>
      </c>
      <c r="C82" s="15" t="s">
        <v>473</v>
      </c>
      <c r="D82" s="15" t="s">
        <v>474</v>
      </c>
      <c r="E82" s="15" t="s">
        <v>475</v>
      </c>
      <c r="F82" s="15" t="s">
        <v>476</v>
      </c>
      <c r="G82" s="17" t="s">
        <v>11</v>
      </c>
      <c r="H82" s="15" t="s">
        <v>42</v>
      </c>
      <c r="I82" s="15" t="s">
        <v>477</v>
      </c>
      <c r="J82" s="15">
        <f>COUNTIF(Phrasings!$B:$B,A82)</f>
        <v>2</v>
      </c>
    </row>
    <row r="83" spans="1:10" ht="26.4" x14ac:dyDescent="0.3">
      <c r="A83" s="15" t="s">
        <v>478</v>
      </c>
      <c r="B83" s="15" t="s">
        <v>460</v>
      </c>
      <c r="C83" s="15" t="s">
        <v>479</v>
      </c>
      <c r="D83" s="15" t="s">
        <v>480</v>
      </c>
      <c r="E83" s="15" t="s">
        <v>481</v>
      </c>
      <c r="F83" s="15" t="s">
        <v>464</v>
      </c>
      <c r="G83" s="19" t="s">
        <v>15</v>
      </c>
      <c r="H83" s="15" t="s">
        <v>42</v>
      </c>
      <c r="I83" s="15" t="s">
        <v>482</v>
      </c>
      <c r="J83" s="15">
        <f>COUNTIF(Phrasings!$B:$B,A83)</f>
        <v>1</v>
      </c>
    </row>
    <row r="84" spans="1:10" x14ac:dyDescent="0.3">
      <c r="A84" s="15" t="s">
        <v>483</v>
      </c>
      <c r="B84" s="15" t="s">
        <v>460</v>
      </c>
      <c r="C84" s="15" t="s">
        <v>484</v>
      </c>
      <c r="D84" s="15" t="s">
        <v>485</v>
      </c>
      <c r="E84" s="15" t="s">
        <v>486</v>
      </c>
      <c r="F84" s="15" t="s">
        <v>487</v>
      </c>
      <c r="G84" s="19" t="s">
        <v>15</v>
      </c>
      <c r="H84" s="15" t="s">
        <v>42</v>
      </c>
      <c r="I84" s="15" t="s">
        <v>488</v>
      </c>
      <c r="J84" s="15">
        <f>COUNTIF(Phrasings!$B:$B,A84)</f>
        <v>2</v>
      </c>
    </row>
    <row r="85" spans="1:10" ht="26.4" x14ac:dyDescent="0.3">
      <c r="A85" s="15" t="s">
        <v>489</v>
      </c>
      <c r="B85" s="15" t="s">
        <v>490</v>
      </c>
      <c r="C85" s="15" t="s">
        <v>491</v>
      </c>
      <c r="D85" s="15" t="s">
        <v>492</v>
      </c>
      <c r="E85" s="15" t="s">
        <v>493</v>
      </c>
      <c r="F85" s="15" t="s">
        <v>54</v>
      </c>
      <c r="G85" s="18" t="s">
        <v>13</v>
      </c>
      <c r="H85" s="15" t="s">
        <v>42</v>
      </c>
      <c r="I85" s="15" t="s">
        <v>494</v>
      </c>
      <c r="J85" s="15">
        <f>COUNTIF(Phrasings!$B:$B,A85)</f>
        <v>2</v>
      </c>
    </row>
    <row r="86" spans="1:10" ht="26.4" x14ac:dyDescent="0.3">
      <c r="A86" s="15" t="s">
        <v>495</v>
      </c>
      <c r="B86" s="15" t="s">
        <v>490</v>
      </c>
      <c r="C86" s="15" t="s">
        <v>496</v>
      </c>
      <c r="D86" s="15" t="s">
        <v>497</v>
      </c>
      <c r="E86" s="15" t="s">
        <v>498</v>
      </c>
      <c r="F86" s="15" t="s">
        <v>54</v>
      </c>
      <c r="G86" s="18" t="s">
        <v>13</v>
      </c>
      <c r="H86" s="15" t="s">
        <v>42</v>
      </c>
      <c r="I86" s="15" t="s">
        <v>499</v>
      </c>
      <c r="J86" s="15">
        <f>COUNTIF(Phrasings!$B:$B,A86)</f>
        <v>2</v>
      </c>
    </row>
    <row r="87" spans="1:10" ht="26.4" x14ac:dyDescent="0.3">
      <c r="A87" s="15" t="s">
        <v>500</v>
      </c>
      <c r="B87" s="15" t="s">
        <v>490</v>
      </c>
      <c r="C87" s="15" t="s">
        <v>501</v>
      </c>
      <c r="D87" s="15" t="s">
        <v>502</v>
      </c>
      <c r="E87" s="15" t="s">
        <v>503</v>
      </c>
      <c r="F87" s="15" t="s">
        <v>54</v>
      </c>
      <c r="G87" s="18" t="s">
        <v>13</v>
      </c>
      <c r="H87" s="15" t="s">
        <v>42</v>
      </c>
      <c r="I87" s="15" t="s">
        <v>504</v>
      </c>
      <c r="J87" s="15">
        <f>COUNTIF(Phrasings!$B:$B,A87)</f>
        <v>3</v>
      </c>
    </row>
    <row r="88" spans="1:10" ht="26.4" x14ac:dyDescent="0.3">
      <c r="A88" s="15" t="s">
        <v>505</v>
      </c>
      <c r="B88" s="15" t="s">
        <v>490</v>
      </c>
      <c r="C88" s="15" t="s">
        <v>506</v>
      </c>
      <c r="D88" s="15" t="s">
        <v>507</v>
      </c>
      <c r="E88" s="15" t="s">
        <v>508</v>
      </c>
      <c r="F88" s="15" t="s">
        <v>54</v>
      </c>
      <c r="G88" s="18" t="s">
        <v>13</v>
      </c>
      <c r="H88" s="15" t="s">
        <v>42</v>
      </c>
      <c r="I88" s="15" t="s">
        <v>509</v>
      </c>
      <c r="J88" s="15">
        <f>COUNTIF(Phrasings!$B:$B,A88)</f>
        <v>1</v>
      </c>
    </row>
    <row r="89" spans="1:10" x14ac:dyDescent="0.3">
      <c r="A89" s="15" t="s">
        <v>510</v>
      </c>
      <c r="B89" s="15" t="s">
        <v>511</v>
      </c>
      <c r="C89" s="15" t="s">
        <v>512</v>
      </c>
      <c r="D89" s="15" t="s">
        <v>513</v>
      </c>
      <c r="E89" s="15" t="s">
        <v>514</v>
      </c>
      <c r="F89" s="15" t="s">
        <v>515</v>
      </c>
      <c r="G89" s="16" t="s">
        <v>9</v>
      </c>
      <c r="H89" s="15" t="s">
        <v>75</v>
      </c>
      <c r="I89" s="15" t="s">
        <v>516</v>
      </c>
      <c r="J89" s="15">
        <f>COUNTIF(Phrasings!$B:$B,A89)</f>
        <v>6</v>
      </c>
    </row>
    <row r="90" spans="1:10" ht="26.4" x14ac:dyDescent="0.3">
      <c r="A90" s="15" t="s">
        <v>517</v>
      </c>
      <c r="B90" s="15" t="s">
        <v>511</v>
      </c>
      <c r="C90" s="15" t="s">
        <v>518</v>
      </c>
      <c r="D90" s="15" t="s">
        <v>519</v>
      </c>
      <c r="E90" s="15" t="s">
        <v>520</v>
      </c>
      <c r="F90" s="15" t="s">
        <v>54</v>
      </c>
      <c r="G90" s="18" t="s">
        <v>13</v>
      </c>
      <c r="H90" s="15" t="s">
        <v>521</v>
      </c>
      <c r="I90" s="15" t="s">
        <v>522</v>
      </c>
      <c r="J90" s="15">
        <f>COUNTIF(Phrasings!$B:$B,A90)</f>
        <v>2</v>
      </c>
    </row>
    <row r="91" spans="1:10" x14ac:dyDescent="0.3">
      <c r="A91" s="15" t="s">
        <v>523</v>
      </c>
      <c r="B91" s="15" t="s">
        <v>511</v>
      </c>
      <c r="C91" s="15" t="s">
        <v>524</v>
      </c>
      <c r="D91" s="15" t="s">
        <v>525</v>
      </c>
      <c r="E91" s="15" t="s">
        <v>526</v>
      </c>
      <c r="F91" s="15" t="s">
        <v>527</v>
      </c>
      <c r="G91" s="17" t="s">
        <v>11</v>
      </c>
      <c r="H91" s="15" t="s">
        <v>42</v>
      </c>
      <c r="I91" s="15" t="s">
        <v>528</v>
      </c>
      <c r="J91" s="15">
        <f>COUNTIF(Phrasings!$B:$B,A91)</f>
        <v>3</v>
      </c>
    </row>
    <row r="92" spans="1:10" x14ac:dyDescent="0.3">
      <c r="A92" s="15" t="s">
        <v>529</v>
      </c>
      <c r="B92" s="15" t="s">
        <v>511</v>
      </c>
      <c r="C92" s="15" t="s">
        <v>530</v>
      </c>
      <c r="D92" s="15" t="s">
        <v>531</v>
      </c>
      <c r="E92" s="15" t="s">
        <v>532</v>
      </c>
      <c r="F92" s="15" t="s">
        <v>54</v>
      </c>
      <c r="G92" s="18" t="s">
        <v>13</v>
      </c>
      <c r="H92" s="15" t="s">
        <v>42</v>
      </c>
      <c r="I92" s="15" t="s">
        <v>533</v>
      </c>
      <c r="J92" s="15">
        <f>COUNTIF(Phrasings!$B:$B,A92)</f>
        <v>2</v>
      </c>
    </row>
    <row r="93" spans="1:10" ht="26.4" x14ac:dyDescent="0.3">
      <c r="A93" s="15" t="s">
        <v>534</v>
      </c>
      <c r="B93" s="15" t="s">
        <v>535</v>
      </c>
      <c r="C93" s="15" t="s">
        <v>536</v>
      </c>
      <c r="D93" s="15" t="s">
        <v>537</v>
      </c>
      <c r="E93" s="15" t="s">
        <v>538</v>
      </c>
      <c r="F93" s="15" t="s">
        <v>156</v>
      </c>
      <c r="G93" s="19" t="s">
        <v>15</v>
      </c>
      <c r="H93" s="15" t="s">
        <v>42</v>
      </c>
      <c r="I93" s="15" t="s">
        <v>539</v>
      </c>
      <c r="J93" s="15">
        <f>COUNTIF(Phrasings!$B:$B,A93)</f>
        <v>1</v>
      </c>
    </row>
    <row r="94" spans="1:10" x14ac:dyDescent="0.3">
      <c r="A94" s="15" t="s">
        <v>540</v>
      </c>
      <c r="B94" s="15" t="s">
        <v>535</v>
      </c>
      <c r="C94" s="15" t="s">
        <v>541</v>
      </c>
      <c r="D94" s="15" t="s">
        <v>542</v>
      </c>
      <c r="E94" s="15" t="s">
        <v>543</v>
      </c>
      <c r="F94" s="15" t="s">
        <v>92</v>
      </c>
      <c r="G94" s="16" t="s">
        <v>9</v>
      </c>
      <c r="H94" s="15" t="s">
        <v>42</v>
      </c>
      <c r="I94" s="15" t="s">
        <v>544</v>
      </c>
      <c r="J94" s="15">
        <f>COUNTIF(Phrasings!$B:$B,A94)</f>
        <v>1</v>
      </c>
    </row>
    <row r="95" spans="1:10" x14ac:dyDescent="0.3">
      <c r="A95" s="15" t="s">
        <v>545</v>
      </c>
      <c r="B95" s="15" t="s">
        <v>546</v>
      </c>
      <c r="C95" s="15" t="s">
        <v>547</v>
      </c>
      <c r="D95" s="15" t="s">
        <v>548</v>
      </c>
      <c r="E95" s="15" t="s">
        <v>549</v>
      </c>
      <c r="F95" s="15" t="s">
        <v>550</v>
      </c>
      <c r="G95" s="20" t="s">
        <v>17</v>
      </c>
      <c r="H95" s="15" t="s">
        <v>521</v>
      </c>
      <c r="I95" s="15" t="s">
        <v>551</v>
      </c>
      <c r="J95" s="15">
        <f>COUNTIF(Phrasings!$B:$B,A95)</f>
        <v>2</v>
      </c>
    </row>
    <row r="96" spans="1:10" x14ac:dyDescent="0.3">
      <c r="A96" s="15" t="s">
        <v>552</v>
      </c>
      <c r="B96" s="15" t="s">
        <v>546</v>
      </c>
      <c r="C96" s="15" t="s">
        <v>553</v>
      </c>
      <c r="D96" s="15" t="s">
        <v>554</v>
      </c>
      <c r="E96" s="15" t="s">
        <v>555</v>
      </c>
      <c r="F96" s="15" t="s">
        <v>556</v>
      </c>
      <c r="G96" s="20" t="s">
        <v>17</v>
      </c>
      <c r="H96" s="15" t="s">
        <v>521</v>
      </c>
      <c r="I96" s="15" t="s">
        <v>557</v>
      </c>
      <c r="J96" s="15">
        <f>COUNTIF(Phrasings!$B:$B,A96)</f>
        <v>2</v>
      </c>
    </row>
    <row r="97" spans="1:10" x14ac:dyDescent="0.3">
      <c r="A97" s="15" t="s">
        <v>558</v>
      </c>
      <c r="B97" s="15" t="s">
        <v>546</v>
      </c>
      <c r="C97" s="15" t="s">
        <v>559</v>
      </c>
      <c r="D97" s="15" t="s">
        <v>560</v>
      </c>
      <c r="E97" s="15" t="s">
        <v>561</v>
      </c>
      <c r="F97" s="15" t="s">
        <v>562</v>
      </c>
      <c r="G97" s="20" t="s">
        <v>17</v>
      </c>
      <c r="H97" s="15" t="s">
        <v>521</v>
      </c>
      <c r="I97" s="15" t="s">
        <v>563</v>
      </c>
      <c r="J97" s="15">
        <f>COUNTIF(Phrasings!$B:$B,A97)</f>
        <v>1</v>
      </c>
    </row>
    <row r="98" spans="1:10" x14ac:dyDescent="0.3">
      <c r="A98" s="15" t="s">
        <v>564</v>
      </c>
      <c r="B98" s="15" t="s">
        <v>565</v>
      </c>
      <c r="C98" s="15" t="s">
        <v>566</v>
      </c>
      <c r="D98" s="15" t="s">
        <v>567</v>
      </c>
      <c r="E98" s="15" t="s">
        <v>568</v>
      </c>
      <c r="F98" s="15" t="s">
        <v>54</v>
      </c>
      <c r="G98" s="21" t="s">
        <v>19</v>
      </c>
      <c r="H98" s="15" t="s">
        <v>521</v>
      </c>
      <c r="I98" s="15" t="s">
        <v>569</v>
      </c>
      <c r="J98" s="15">
        <f>COUNTIF(Phrasings!$B:$B,A98)</f>
        <v>3</v>
      </c>
    </row>
    <row r="99" spans="1:10" ht="26.4" x14ac:dyDescent="0.3">
      <c r="A99" s="15" t="s">
        <v>570</v>
      </c>
      <c r="B99" s="15" t="s">
        <v>565</v>
      </c>
      <c r="C99" s="15" t="s">
        <v>571</v>
      </c>
      <c r="D99" s="15" t="s">
        <v>572</v>
      </c>
      <c r="E99" s="15" t="s">
        <v>573</v>
      </c>
      <c r="F99" s="15" t="s">
        <v>574</v>
      </c>
      <c r="G99" s="21" t="s">
        <v>19</v>
      </c>
      <c r="H99" s="15" t="s">
        <v>521</v>
      </c>
      <c r="I99" s="15" t="s">
        <v>575</v>
      </c>
      <c r="J99" s="15">
        <f>COUNTIF(Phrasings!$B:$B,A99)</f>
        <v>2</v>
      </c>
    </row>
    <row r="100" spans="1:10" ht="26.4" x14ac:dyDescent="0.3">
      <c r="A100" s="15" t="s">
        <v>576</v>
      </c>
      <c r="B100" s="15" t="s">
        <v>565</v>
      </c>
      <c r="C100" s="15" t="s">
        <v>577</v>
      </c>
      <c r="D100" s="15" t="s">
        <v>578</v>
      </c>
      <c r="E100" s="15" t="s">
        <v>579</v>
      </c>
      <c r="F100" s="15" t="s">
        <v>580</v>
      </c>
      <c r="G100" s="21" t="s">
        <v>19</v>
      </c>
      <c r="H100" s="15" t="s">
        <v>521</v>
      </c>
      <c r="I100" s="15" t="s">
        <v>581</v>
      </c>
      <c r="J100" s="15">
        <f>COUNTIF(Phrasings!$B:$B,A100)</f>
        <v>3</v>
      </c>
    </row>
    <row r="101" spans="1:10" x14ac:dyDescent="0.3">
      <c r="A101" s="15" t="s">
        <v>582</v>
      </c>
      <c r="B101" s="15" t="s">
        <v>565</v>
      </c>
      <c r="C101" s="15" t="s">
        <v>583</v>
      </c>
      <c r="D101" s="15" t="s">
        <v>584</v>
      </c>
      <c r="E101" s="15" t="s">
        <v>585</v>
      </c>
      <c r="F101" s="15" t="s">
        <v>586</v>
      </c>
      <c r="G101" s="21" t="s">
        <v>19</v>
      </c>
      <c r="H101" s="15" t="s">
        <v>521</v>
      </c>
      <c r="I101" s="15" t="s">
        <v>587</v>
      </c>
      <c r="J101" s="15">
        <f>COUNTIF(Phrasings!$B:$B,A101)</f>
        <v>2</v>
      </c>
    </row>
  </sheetData>
  <autoFilter ref="A1:J101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3"/>
  <sheetViews>
    <sheetView zoomScaleNormal="100" workbookViewId="0">
      <pane ySplit="1" topLeftCell="A2" activePane="bottomLeft" state="frozen"/>
      <selection pane="bottomLeft" activeCell="A2" sqref="A2"/>
    </sheetView>
  </sheetViews>
  <sheetFormatPr defaultColWidth="8.6640625" defaultRowHeight="14.4" x14ac:dyDescent="0.3"/>
  <cols>
    <col min="1" max="1" width="6" customWidth="1"/>
    <col min="2" max="2" width="12" customWidth="1"/>
    <col min="3" max="3" width="32" customWidth="1"/>
    <col min="4" max="4" width="62" customWidth="1"/>
    <col min="5" max="5" width="18" customWidth="1"/>
    <col min="6" max="6" width="58" customWidth="1"/>
    <col min="7" max="7" width="22" customWidth="1"/>
  </cols>
  <sheetData>
    <row r="1" spans="1:7" ht="30" customHeight="1" x14ac:dyDescent="0.3">
      <c r="A1" s="14" t="s">
        <v>588</v>
      </c>
      <c r="B1" s="14" t="s">
        <v>589</v>
      </c>
      <c r="C1" s="14" t="s">
        <v>28</v>
      </c>
      <c r="D1" s="14" t="s">
        <v>590</v>
      </c>
      <c r="E1" s="14" t="s">
        <v>591</v>
      </c>
      <c r="F1" s="14" t="s">
        <v>592</v>
      </c>
      <c r="G1" s="14" t="s">
        <v>32</v>
      </c>
    </row>
    <row r="2" spans="1:7" x14ac:dyDescent="0.3">
      <c r="A2" s="15">
        <v>1</v>
      </c>
      <c r="B2" s="15" t="s">
        <v>36</v>
      </c>
      <c r="C2" s="15" t="s">
        <v>38</v>
      </c>
      <c r="D2" s="15" t="s">
        <v>593</v>
      </c>
      <c r="E2" s="15" t="s">
        <v>594</v>
      </c>
      <c r="F2" s="15" t="s">
        <v>595</v>
      </c>
      <c r="G2" s="16" t="s">
        <v>9</v>
      </c>
    </row>
    <row r="3" spans="1:7" x14ac:dyDescent="0.3">
      <c r="A3" s="15">
        <v>2</v>
      </c>
      <c r="B3" s="15" t="s">
        <v>36</v>
      </c>
      <c r="C3" s="15" t="s">
        <v>38</v>
      </c>
      <c r="D3" s="15" t="s">
        <v>596</v>
      </c>
      <c r="E3" s="15" t="s">
        <v>597</v>
      </c>
      <c r="F3" s="15" t="s">
        <v>595</v>
      </c>
      <c r="G3" s="16" t="s">
        <v>9</v>
      </c>
    </row>
    <row r="4" spans="1:7" x14ac:dyDescent="0.3">
      <c r="A4" s="15">
        <v>3</v>
      </c>
      <c r="B4" s="15" t="s">
        <v>36</v>
      </c>
      <c r="C4" s="15" t="s">
        <v>38</v>
      </c>
      <c r="D4" s="15" t="s">
        <v>598</v>
      </c>
      <c r="E4" s="15" t="s">
        <v>599</v>
      </c>
      <c r="F4" s="15" t="s">
        <v>595</v>
      </c>
      <c r="G4" s="16" t="s">
        <v>9</v>
      </c>
    </row>
    <row r="5" spans="1:7" x14ac:dyDescent="0.3">
      <c r="A5" s="15">
        <v>4</v>
      </c>
      <c r="B5" s="15" t="s">
        <v>36</v>
      </c>
      <c r="C5" s="15" t="s">
        <v>38</v>
      </c>
      <c r="D5" s="15" t="s">
        <v>600</v>
      </c>
      <c r="E5" s="15" t="s">
        <v>601</v>
      </c>
      <c r="F5" s="15" t="s">
        <v>595</v>
      </c>
      <c r="G5" s="16" t="s">
        <v>9</v>
      </c>
    </row>
    <row r="6" spans="1:7" x14ac:dyDescent="0.3">
      <c r="A6" s="15">
        <v>5</v>
      </c>
      <c r="B6" s="15" t="s">
        <v>36</v>
      </c>
      <c r="C6" s="15" t="s">
        <v>38</v>
      </c>
      <c r="D6" s="15" t="s">
        <v>602</v>
      </c>
      <c r="E6" s="15" t="s">
        <v>603</v>
      </c>
      <c r="F6" s="15" t="s">
        <v>595</v>
      </c>
      <c r="G6" s="16" t="s">
        <v>9</v>
      </c>
    </row>
    <row r="7" spans="1:7" x14ac:dyDescent="0.3">
      <c r="A7" s="15">
        <v>6</v>
      </c>
      <c r="B7" s="15" t="s">
        <v>36</v>
      </c>
      <c r="C7" s="15" t="s">
        <v>38</v>
      </c>
      <c r="D7" s="15" t="s">
        <v>604</v>
      </c>
      <c r="E7" s="15" t="s">
        <v>605</v>
      </c>
      <c r="F7" s="15" t="s">
        <v>595</v>
      </c>
      <c r="G7" s="16" t="s">
        <v>9</v>
      </c>
    </row>
    <row r="8" spans="1:7" x14ac:dyDescent="0.3">
      <c r="A8" s="15">
        <v>7</v>
      </c>
      <c r="B8" s="15" t="s">
        <v>36</v>
      </c>
      <c r="C8" s="15" t="s">
        <v>38</v>
      </c>
      <c r="D8" s="15" t="s">
        <v>606</v>
      </c>
      <c r="E8" s="15" t="s">
        <v>607</v>
      </c>
      <c r="F8" s="15" t="s">
        <v>595</v>
      </c>
      <c r="G8" s="16" t="s">
        <v>9</v>
      </c>
    </row>
    <row r="9" spans="1:7" x14ac:dyDescent="0.3">
      <c r="A9" s="15">
        <v>8</v>
      </c>
      <c r="B9" s="15" t="s">
        <v>36</v>
      </c>
      <c r="C9" s="15" t="s">
        <v>38</v>
      </c>
      <c r="D9" s="15" t="s">
        <v>608</v>
      </c>
      <c r="E9" s="15" t="s">
        <v>609</v>
      </c>
      <c r="F9" s="15" t="s">
        <v>595</v>
      </c>
      <c r="G9" s="16" t="s">
        <v>9</v>
      </c>
    </row>
    <row r="10" spans="1:7" x14ac:dyDescent="0.3">
      <c r="A10" s="15">
        <v>9</v>
      </c>
      <c r="B10" s="15" t="s">
        <v>36</v>
      </c>
      <c r="C10" s="15" t="s">
        <v>38</v>
      </c>
      <c r="D10" s="15" t="s">
        <v>610</v>
      </c>
      <c r="E10" s="15" t="s">
        <v>611</v>
      </c>
      <c r="F10" s="15" t="s">
        <v>595</v>
      </c>
      <c r="G10" s="16" t="s">
        <v>9</v>
      </c>
    </row>
    <row r="11" spans="1:7" x14ac:dyDescent="0.3">
      <c r="A11" s="15">
        <v>10</v>
      </c>
      <c r="B11" s="15" t="s">
        <v>36</v>
      </c>
      <c r="C11" s="15" t="s">
        <v>38</v>
      </c>
      <c r="D11" s="15" t="s">
        <v>612</v>
      </c>
      <c r="E11" s="15" t="s">
        <v>613</v>
      </c>
      <c r="F11" s="15" t="s">
        <v>595</v>
      </c>
      <c r="G11" s="16" t="s">
        <v>9</v>
      </c>
    </row>
    <row r="12" spans="1:7" x14ac:dyDescent="0.3">
      <c r="A12" s="15">
        <v>11</v>
      </c>
      <c r="B12" s="15" t="s">
        <v>36</v>
      </c>
      <c r="C12" s="15" t="s">
        <v>38</v>
      </c>
      <c r="D12" s="15" t="s">
        <v>614</v>
      </c>
      <c r="E12" s="15" t="s">
        <v>615</v>
      </c>
      <c r="F12" s="15" t="s">
        <v>595</v>
      </c>
      <c r="G12" s="16" t="s">
        <v>9</v>
      </c>
    </row>
    <row r="13" spans="1:7" x14ac:dyDescent="0.3">
      <c r="A13" s="15">
        <v>12</v>
      </c>
      <c r="B13" s="15" t="s">
        <v>36</v>
      </c>
      <c r="C13" s="15" t="s">
        <v>38</v>
      </c>
      <c r="D13" s="15" t="s">
        <v>616</v>
      </c>
      <c r="E13" s="15" t="s">
        <v>617</v>
      </c>
      <c r="F13" s="15" t="s">
        <v>595</v>
      </c>
      <c r="G13" s="16" t="s">
        <v>9</v>
      </c>
    </row>
    <row r="14" spans="1:7" x14ac:dyDescent="0.3">
      <c r="A14" s="15">
        <v>13</v>
      </c>
      <c r="B14" s="15" t="s">
        <v>36</v>
      </c>
      <c r="C14" s="15" t="s">
        <v>38</v>
      </c>
      <c r="D14" s="15" t="s">
        <v>618</v>
      </c>
      <c r="E14" s="15" t="s">
        <v>619</v>
      </c>
      <c r="F14" s="15" t="s">
        <v>595</v>
      </c>
      <c r="G14" s="16" t="s">
        <v>9</v>
      </c>
    </row>
    <row r="15" spans="1:7" x14ac:dyDescent="0.3">
      <c r="A15" s="15">
        <v>14</v>
      </c>
      <c r="B15" s="15" t="s">
        <v>36</v>
      </c>
      <c r="C15" s="15" t="s">
        <v>38</v>
      </c>
      <c r="D15" s="15" t="s">
        <v>620</v>
      </c>
      <c r="E15" s="15" t="s">
        <v>75</v>
      </c>
      <c r="F15" s="15" t="s">
        <v>595</v>
      </c>
      <c r="G15" s="16" t="s">
        <v>9</v>
      </c>
    </row>
    <row r="16" spans="1:7" x14ac:dyDescent="0.3">
      <c r="A16" s="15">
        <v>15</v>
      </c>
      <c r="B16" s="15" t="s">
        <v>36</v>
      </c>
      <c r="C16" s="15" t="s">
        <v>38</v>
      </c>
      <c r="D16" s="15" t="s">
        <v>621</v>
      </c>
      <c r="E16" s="15" t="s">
        <v>622</v>
      </c>
      <c r="F16" s="15" t="s">
        <v>595</v>
      </c>
      <c r="G16" s="16" t="s">
        <v>9</v>
      </c>
    </row>
    <row r="17" spans="1:7" x14ac:dyDescent="0.3">
      <c r="A17" s="15">
        <v>16</v>
      </c>
      <c r="B17" s="15" t="s">
        <v>36</v>
      </c>
      <c r="C17" s="15" t="s">
        <v>38</v>
      </c>
      <c r="D17" s="15" t="s">
        <v>623</v>
      </c>
      <c r="E17" s="15" t="s">
        <v>624</v>
      </c>
      <c r="F17" s="15" t="s">
        <v>595</v>
      </c>
      <c r="G17" s="16" t="s">
        <v>9</v>
      </c>
    </row>
    <row r="18" spans="1:7" x14ac:dyDescent="0.3">
      <c r="A18" s="15">
        <v>17</v>
      </c>
      <c r="B18" s="15" t="s">
        <v>36</v>
      </c>
      <c r="C18" s="15" t="s">
        <v>38</v>
      </c>
      <c r="D18" s="15" t="s">
        <v>625</v>
      </c>
      <c r="E18" s="15" t="s">
        <v>626</v>
      </c>
      <c r="F18" s="15" t="s">
        <v>595</v>
      </c>
      <c r="G18" s="16" t="s">
        <v>9</v>
      </c>
    </row>
    <row r="19" spans="1:7" ht="26.4" x14ac:dyDescent="0.3">
      <c r="A19" s="15">
        <v>18</v>
      </c>
      <c r="B19" s="15" t="s">
        <v>36</v>
      </c>
      <c r="C19" s="15" t="s">
        <v>38</v>
      </c>
      <c r="D19" s="15" t="s">
        <v>627</v>
      </c>
      <c r="E19" s="15" t="s">
        <v>628</v>
      </c>
      <c r="F19" s="15" t="s">
        <v>595</v>
      </c>
      <c r="G19" s="16" t="s">
        <v>9</v>
      </c>
    </row>
    <row r="20" spans="1:7" ht="26.4" x14ac:dyDescent="0.3">
      <c r="A20" s="15">
        <v>19</v>
      </c>
      <c r="B20" s="15" t="s">
        <v>36</v>
      </c>
      <c r="C20" s="15" t="s">
        <v>38</v>
      </c>
      <c r="D20" s="15" t="s">
        <v>629</v>
      </c>
      <c r="E20" s="15" t="s">
        <v>630</v>
      </c>
      <c r="F20" s="15" t="s">
        <v>631</v>
      </c>
      <c r="G20" s="16" t="s">
        <v>9</v>
      </c>
    </row>
    <row r="21" spans="1:7" ht="26.4" x14ac:dyDescent="0.3">
      <c r="A21" s="15">
        <v>20</v>
      </c>
      <c r="B21" s="15" t="s">
        <v>36</v>
      </c>
      <c r="C21" s="15" t="s">
        <v>38</v>
      </c>
      <c r="D21" s="15" t="s">
        <v>632</v>
      </c>
      <c r="E21" s="15" t="s">
        <v>633</v>
      </c>
      <c r="F21" s="15" t="s">
        <v>631</v>
      </c>
      <c r="G21" s="16" t="s">
        <v>9</v>
      </c>
    </row>
    <row r="22" spans="1:7" ht="26.4" x14ac:dyDescent="0.3">
      <c r="A22" s="15">
        <v>21</v>
      </c>
      <c r="B22" s="15" t="s">
        <v>44</v>
      </c>
      <c r="C22" s="15" t="s">
        <v>45</v>
      </c>
      <c r="D22" s="15" t="s">
        <v>634</v>
      </c>
      <c r="E22" s="15" t="s">
        <v>594</v>
      </c>
      <c r="F22" s="15" t="s">
        <v>635</v>
      </c>
      <c r="G22" s="17" t="s">
        <v>11</v>
      </c>
    </row>
    <row r="23" spans="1:7" ht="26.4" x14ac:dyDescent="0.3">
      <c r="A23" s="15">
        <v>22</v>
      </c>
      <c r="B23" s="15" t="s">
        <v>44</v>
      </c>
      <c r="C23" s="15" t="s">
        <v>45</v>
      </c>
      <c r="D23" s="15" t="s">
        <v>636</v>
      </c>
      <c r="E23" s="15" t="s">
        <v>637</v>
      </c>
      <c r="F23" s="15" t="s">
        <v>635</v>
      </c>
      <c r="G23" s="17" t="s">
        <v>11</v>
      </c>
    </row>
    <row r="24" spans="1:7" ht="26.4" x14ac:dyDescent="0.3">
      <c r="A24" s="15">
        <v>23</v>
      </c>
      <c r="B24" s="15" t="s">
        <v>44</v>
      </c>
      <c r="C24" s="15" t="s">
        <v>45</v>
      </c>
      <c r="D24" s="15" t="s">
        <v>638</v>
      </c>
      <c r="E24" s="15" t="s">
        <v>603</v>
      </c>
      <c r="F24" s="15" t="s">
        <v>635</v>
      </c>
      <c r="G24" s="17" t="s">
        <v>11</v>
      </c>
    </row>
    <row r="25" spans="1:7" ht="26.4" x14ac:dyDescent="0.3">
      <c r="A25" s="15">
        <v>24</v>
      </c>
      <c r="B25" s="15" t="s">
        <v>44</v>
      </c>
      <c r="C25" s="15" t="s">
        <v>45</v>
      </c>
      <c r="D25" s="15" t="s">
        <v>639</v>
      </c>
      <c r="E25" s="15" t="s">
        <v>597</v>
      </c>
      <c r="F25" s="15" t="s">
        <v>635</v>
      </c>
      <c r="G25" s="17" t="s">
        <v>11</v>
      </c>
    </row>
    <row r="26" spans="1:7" ht="26.4" x14ac:dyDescent="0.3">
      <c r="A26" s="15">
        <v>25</v>
      </c>
      <c r="B26" s="15" t="s">
        <v>44</v>
      </c>
      <c r="C26" s="15" t="s">
        <v>45</v>
      </c>
      <c r="D26" s="15" t="s">
        <v>640</v>
      </c>
      <c r="E26" s="15" t="s">
        <v>641</v>
      </c>
      <c r="F26" s="15" t="s">
        <v>635</v>
      </c>
      <c r="G26" s="17" t="s">
        <v>11</v>
      </c>
    </row>
    <row r="27" spans="1:7" ht="26.4" x14ac:dyDescent="0.3">
      <c r="A27" s="15">
        <v>26</v>
      </c>
      <c r="B27" s="15" t="s">
        <v>44</v>
      </c>
      <c r="C27" s="15" t="s">
        <v>45</v>
      </c>
      <c r="D27" s="15" t="s">
        <v>642</v>
      </c>
      <c r="E27" s="15" t="s">
        <v>607</v>
      </c>
      <c r="F27" s="15" t="s">
        <v>635</v>
      </c>
      <c r="G27" s="17" t="s">
        <v>11</v>
      </c>
    </row>
    <row r="28" spans="1:7" ht="26.4" x14ac:dyDescent="0.3">
      <c r="A28" s="15">
        <v>27</v>
      </c>
      <c r="B28" s="15" t="s">
        <v>44</v>
      </c>
      <c r="C28" s="15" t="s">
        <v>45</v>
      </c>
      <c r="D28" s="15" t="s">
        <v>643</v>
      </c>
      <c r="E28" s="15" t="s">
        <v>644</v>
      </c>
      <c r="F28" s="15" t="s">
        <v>635</v>
      </c>
      <c r="G28" s="17" t="s">
        <v>11</v>
      </c>
    </row>
    <row r="29" spans="1:7" ht="26.4" x14ac:dyDescent="0.3">
      <c r="A29" s="15">
        <v>28</v>
      </c>
      <c r="B29" s="15" t="s">
        <v>44</v>
      </c>
      <c r="C29" s="15" t="s">
        <v>45</v>
      </c>
      <c r="D29" s="15" t="s">
        <v>645</v>
      </c>
      <c r="E29" s="15" t="s">
        <v>646</v>
      </c>
      <c r="F29" s="15" t="s">
        <v>635</v>
      </c>
      <c r="G29" s="17" t="s">
        <v>11</v>
      </c>
    </row>
    <row r="30" spans="1:7" ht="26.4" x14ac:dyDescent="0.3">
      <c r="A30" s="15">
        <v>29</v>
      </c>
      <c r="B30" s="15" t="s">
        <v>50</v>
      </c>
      <c r="C30" s="15" t="s">
        <v>51</v>
      </c>
      <c r="D30" s="15" t="s">
        <v>647</v>
      </c>
      <c r="E30" s="15" t="s">
        <v>594</v>
      </c>
      <c r="F30" s="15" t="s">
        <v>648</v>
      </c>
      <c r="G30" s="18" t="s">
        <v>13</v>
      </c>
    </row>
    <row r="31" spans="1:7" ht="26.4" x14ac:dyDescent="0.3">
      <c r="A31" s="15">
        <v>30</v>
      </c>
      <c r="B31" s="15" t="s">
        <v>50</v>
      </c>
      <c r="C31" s="15" t="s">
        <v>51</v>
      </c>
      <c r="D31" s="15" t="s">
        <v>649</v>
      </c>
      <c r="E31" s="15" t="s">
        <v>650</v>
      </c>
      <c r="F31" s="15" t="s">
        <v>648</v>
      </c>
      <c r="G31" s="18" t="s">
        <v>13</v>
      </c>
    </row>
    <row r="32" spans="1:7" ht="26.4" x14ac:dyDescent="0.3">
      <c r="A32" s="15">
        <v>31</v>
      </c>
      <c r="B32" s="15" t="s">
        <v>50</v>
      </c>
      <c r="C32" s="15" t="s">
        <v>51</v>
      </c>
      <c r="D32" s="15" t="s">
        <v>651</v>
      </c>
      <c r="E32" s="15" t="s">
        <v>652</v>
      </c>
      <c r="F32" s="15" t="s">
        <v>648</v>
      </c>
      <c r="G32" s="18" t="s">
        <v>13</v>
      </c>
    </row>
    <row r="33" spans="1:7" ht="26.4" x14ac:dyDescent="0.3">
      <c r="A33" s="15">
        <v>32</v>
      </c>
      <c r="B33" s="15" t="s">
        <v>50</v>
      </c>
      <c r="C33" s="15" t="s">
        <v>51</v>
      </c>
      <c r="D33" s="15" t="s">
        <v>653</v>
      </c>
      <c r="E33" s="15" t="s">
        <v>654</v>
      </c>
      <c r="F33" s="15" t="s">
        <v>648</v>
      </c>
      <c r="G33" s="18" t="s">
        <v>13</v>
      </c>
    </row>
    <row r="34" spans="1:7" ht="26.4" x14ac:dyDescent="0.3">
      <c r="A34" s="15">
        <v>33</v>
      </c>
      <c r="B34" s="15" t="s">
        <v>50</v>
      </c>
      <c r="C34" s="15" t="s">
        <v>51</v>
      </c>
      <c r="D34" s="15" t="s">
        <v>655</v>
      </c>
      <c r="E34" s="15" t="s">
        <v>611</v>
      </c>
      <c r="F34" s="15" t="s">
        <v>648</v>
      </c>
      <c r="G34" s="18" t="s">
        <v>13</v>
      </c>
    </row>
    <row r="35" spans="1:7" ht="26.4" x14ac:dyDescent="0.3">
      <c r="A35" s="15">
        <v>34</v>
      </c>
      <c r="B35" s="15" t="s">
        <v>50</v>
      </c>
      <c r="C35" s="15" t="s">
        <v>51</v>
      </c>
      <c r="D35" s="15" t="s">
        <v>656</v>
      </c>
      <c r="E35" s="15" t="s">
        <v>601</v>
      </c>
      <c r="F35" s="15" t="s">
        <v>648</v>
      </c>
      <c r="G35" s="18" t="s">
        <v>13</v>
      </c>
    </row>
    <row r="36" spans="1:7" ht="26.4" x14ac:dyDescent="0.3">
      <c r="A36" s="15">
        <v>35</v>
      </c>
      <c r="B36" s="15" t="s">
        <v>50</v>
      </c>
      <c r="C36" s="15" t="s">
        <v>51</v>
      </c>
      <c r="D36" s="15" t="s">
        <v>657</v>
      </c>
      <c r="E36" s="15" t="s">
        <v>658</v>
      </c>
      <c r="F36" s="15" t="s">
        <v>648</v>
      </c>
      <c r="G36" s="18" t="s">
        <v>13</v>
      </c>
    </row>
    <row r="37" spans="1:7" ht="26.4" x14ac:dyDescent="0.3">
      <c r="A37" s="15">
        <v>36</v>
      </c>
      <c r="B37" s="15" t="s">
        <v>56</v>
      </c>
      <c r="C37" s="15" t="s">
        <v>57</v>
      </c>
      <c r="D37" s="15" t="s">
        <v>659</v>
      </c>
      <c r="E37" s="15" t="s">
        <v>654</v>
      </c>
      <c r="F37" s="15" t="s">
        <v>660</v>
      </c>
      <c r="G37" s="18" t="s">
        <v>13</v>
      </c>
    </row>
    <row r="38" spans="1:7" ht="26.4" x14ac:dyDescent="0.3">
      <c r="A38" s="15">
        <v>37</v>
      </c>
      <c r="B38" s="15" t="s">
        <v>56</v>
      </c>
      <c r="C38" s="15" t="s">
        <v>57</v>
      </c>
      <c r="D38" s="15" t="s">
        <v>661</v>
      </c>
      <c r="E38" s="15" t="s">
        <v>662</v>
      </c>
      <c r="F38" s="15" t="s">
        <v>660</v>
      </c>
      <c r="G38" s="18" t="s">
        <v>13</v>
      </c>
    </row>
    <row r="39" spans="1:7" ht="26.4" x14ac:dyDescent="0.3">
      <c r="A39" s="15">
        <v>38</v>
      </c>
      <c r="B39" s="15" t="s">
        <v>56</v>
      </c>
      <c r="C39" s="15" t="s">
        <v>57</v>
      </c>
      <c r="D39" s="15" t="s">
        <v>663</v>
      </c>
      <c r="E39" s="15" t="s">
        <v>664</v>
      </c>
      <c r="F39" s="15" t="s">
        <v>660</v>
      </c>
      <c r="G39" s="18" t="s">
        <v>13</v>
      </c>
    </row>
    <row r="40" spans="1:7" ht="26.4" x14ac:dyDescent="0.3">
      <c r="A40" s="15">
        <v>39</v>
      </c>
      <c r="B40" s="15" t="s">
        <v>56</v>
      </c>
      <c r="C40" s="15" t="s">
        <v>57</v>
      </c>
      <c r="D40" s="15" t="s">
        <v>665</v>
      </c>
      <c r="E40" s="15" t="s">
        <v>597</v>
      </c>
      <c r="F40" s="15" t="s">
        <v>660</v>
      </c>
      <c r="G40" s="18" t="s">
        <v>13</v>
      </c>
    </row>
    <row r="41" spans="1:7" ht="26.4" x14ac:dyDescent="0.3">
      <c r="A41" s="15">
        <v>40</v>
      </c>
      <c r="B41" s="15" t="s">
        <v>56</v>
      </c>
      <c r="C41" s="15" t="s">
        <v>57</v>
      </c>
      <c r="D41" s="15" t="s">
        <v>666</v>
      </c>
      <c r="E41" s="15" t="s">
        <v>667</v>
      </c>
      <c r="F41" s="15" t="s">
        <v>660</v>
      </c>
      <c r="G41" s="18" t="s">
        <v>13</v>
      </c>
    </row>
    <row r="42" spans="1:7" ht="26.4" x14ac:dyDescent="0.3">
      <c r="A42" s="15">
        <v>41</v>
      </c>
      <c r="B42" s="15" t="s">
        <v>56</v>
      </c>
      <c r="C42" s="15" t="s">
        <v>57</v>
      </c>
      <c r="D42" s="15" t="s">
        <v>668</v>
      </c>
      <c r="E42" s="15" t="s">
        <v>607</v>
      </c>
      <c r="F42" s="15" t="s">
        <v>660</v>
      </c>
      <c r="G42" s="18" t="s">
        <v>13</v>
      </c>
    </row>
    <row r="43" spans="1:7" ht="26.4" x14ac:dyDescent="0.3">
      <c r="A43" s="15">
        <v>42</v>
      </c>
      <c r="B43" s="15" t="s">
        <v>61</v>
      </c>
      <c r="C43" s="15" t="s">
        <v>62</v>
      </c>
      <c r="D43" s="15" t="s">
        <v>669</v>
      </c>
      <c r="E43" s="15" t="s">
        <v>670</v>
      </c>
      <c r="F43" s="15" t="s">
        <v>671</v>
      </c>
      <c r="G43" s="18" t="s">
        <v>13</v>
      </c>
    </row>
    <row r="44" spans="1:7" ht="26.4" x14ac:dyDescent="0.3">
      <c r="A44" s="15">
        <v>43</v>
      </c>
      <c r="B44" s="15" t="s">
        <v>61</v>
      </c>
      <c r="C44" s="15" t="s">
        <v>62</v>
      </c>
      <c r="D44" s="15" t="s">
        <v>672</v>
      </c>
      <c r="E44" s="15" t="s">
        <v>673</v>
      </c>
      <c r="F44" s="15" t="s">
        <v>671</v>
      </c>
      <c r="G44" s="18" t="s">
        <v>13</v>
      </c>
    </row>
    <row r="45" spans="1:7" ht="26.4" x14ac:dyDescent="0.3">
      <c r="A45" s="15">
        <v>44</v>
      </c>
      <c r="B45" s="15" t="s">
        <v>61</v>
      </c>
      <c r="C45" s="15" t="s">
        <v>62</v>
      </c>
      <c r="D45" s="15" t="s">
        <v>674</v>
      </c>
      <c r="E45" s="15" t="s">
        <v>603</v>
      </c>
      <c r="F45" s="15" t="s">
        <v>671</v>
      </c>
      <c r="G45" s="18" t="s">
        <v>13</v>
      </c>
    </row>
    <row r="46" spans="1:7" ht="26.4" x14ac:dyDescent="0.3">
      <c r="A46" s="15">
        <v>45</v>
      </c>
      <c r="B46" s="15" t="s">
        <v>66</v>
      </c>
      <c r="C46" s="15" t="s">
        <v>67</v>
      </c>
      <c r="D46" s="15" t="s">
        <v>675</v>
      </c>
      <c r="E46" s="15" t="s">
        <v>594</v>
      </c>
      <c r="F46" s="15" t="s">
        <v>676</v>
      </c>
      <c r="G46" s="18" t="s">
        <v>13</v>
      </c>
    </row>
    <row r="47" spans="1:7" ht="26.4" x14ac:dyDescent="0.3">
      <c r="A47" s="15">
        <v>46</v>
      </c>
      <c r="B47" s="15" t="s">
        <v>66</v>
      </c>
      <c r="C47" s="15" t="s">
        <v>67</v>
      </c>
      <c r="D47" s="15" t="s">
        <v>677</v>
      </c>
      <c r="E47" s="15" t="s">
        <v>678</v>
      </c>
      <c r="F47" s="15" t="s">
        <v>676</v>
      </c>
      <c r="G47" s="18" t="s">
        <v>13</v>
      </c>
    </row>
    <row r="48" spans="1:7" ht="26.4" x14ac:dyDescent="0.3">
      <c r="A48" s="15">
        <v>47</v>
      </c>
      <c r="B48" s="15" t="s">
        <v>66</v>
      </c>
      <c r="C48" s="15" t="s">
        <v>67</v>
      </c>
      <c r="D48" s="15" t="s">
        <v>679</v>
      </c>
      <c r="E48" s="15" t="s">
        <v>599</v>
      </c>
      <c r="F48" s="15" t="s">
        <v>676</v>
      </c>
      <c r="G48" s="18" t="s">
        <v>13</v>
      </c>
    </row>
    <row r="49" spans="1:7" ht="26.4" x14ac:dyDescent="0.3">
      <c r="A49" s="15">
        <v>48</v>
      </c>
      <c r="B49" s="15" t="s">
        <v>71</v>
      </c>
      <c r="C49" s="15" t="s">
        <v>72</v>
      </c>
      <c r="D49" s="15" t="s">
        <v>680</v>
      </c>
      <c r="E49" s="15" t="s">
        <v>75</v>
      </c>
      <c r="F49" s="15" t="s">
        <v>681</v>
      </c>
      <c r="G49" s="18" t="s">
        <v>13</v>
      </c>
    </row>
    <row r="50" spans="1:7" ht="26.4" x14ac:dyDescent="0.3">
      <c r="A50" s="15">
        <v>49</v>
      </c>
      <c r="B50" s="15" t="s">
        <v>71</v>
      </c>
      <c r="C50" s="15" t="s">
        <v>72</v>
      </c>
      <c r="D50" s="15" t="s">
        <v>682</v>
      </c>
      <c r="E50" s="15" t="s">
        <v>683</v>
      </c>
      <c r="F50" s="15" t="s">
        <v>681</v>
      </c>
      <c r="G50" s="18" t="s">
        <v>13</v>
      </c>
    </row>
    <row r="51" spans="1:7" ht="26.4" x14ac:dyDescent="0.3">
      <c r="A51" s="15">
        <v>50</v>
      </c>
      <c r="B51" s="15" t="s">
        <v>71</v>
      </c>
      <c r="C51" s="15" t="s">
        <v>72</v>
      </c>
      <c r="D51" s="15" t="s">
        <v>684</v>
      </c>
      <c r="E51" s="15" t="s">
        <v>685</v>
      </c>
      <c r="F51" s="15" t="s">
        <v>681</v>
      </c>
      <c r="G51" s="18" t="s">
        <v>13</v>
      </c>
    </row>
    <row r="52" spans="1:7" x14ac:dyDescent="0.3">
      <c r="A52" s="15">
        <v>51</v>
      </c>
      <c r="B52" s="15" t="s">
        <v>77</v>
      </c>
      <c r="C52" s="15" t="s">
        <v>78</v>
      </c>
      <c r="D52" s="15" t="s">
        <v>686</v>
      </c>
      <c r="E52" s="15" t="s">
        <v>687</v>
      </c>
      <c r="F52" s="15" t="s">
        <v>688</v>
      </c>
      <c r="G52" s="18" t="s">
        <v>13</v>
      </c>
    </row>
    <row r="53" spans="1:7" x14ac:dyDescent="0.3">
      <c r="A53" s="15">
        <v>52</v>
      </c>
      <c r="B53" s="15" t="s">
        <v>77</v>
      </c>
      <c r="C53" s="15" t="s">
        <v>78</v>
      </c>
      <c r="D53" s="15" t="s">
        <v>689</v>
      </c>
      <c r="E53" s="15" t="s">
        <v>690</v>
      </c>
      <c r="F53" s="15" t="s">
        <v>688</v>
      </c>
      <c r="G53" s="18" t="s">
        <v>13</v>
      </c>
    </row>
    <row r="54" spans="1:7" x14ac:dyDescent="0.3">
      <c r="A54" s="15">
        <v>53</v>
      </c>
      <c r="B54" s="15" t="s">
        <v>77</v>
      </c>
      <c r="C54" s="15" t="s">
        <v>78</v>
      </c>
      <c r="D54" s="15" t="s">
        <v>691</v>
      </c>
      <c r="E54" s="15" t="s">
        <v>692</v>
      </c>
      <c r="F54" s="15" t="s">
        <v>688</v>
      </c>
      <c r="G54" s="18" t="s">
        <v>13</v>
      </c>
    </row>
    <row r="55" spans="1:7" ht="26.4" x14ac:dyDescent="0.3">
      <c r="A55" s="15">
        <v>54</v>
      </c>
      <c r="B55" s="15" t="s">
        <v>82</v>
      </c>
      <c r="C55" s="15" t="s">
        <v>83</v>
      </c>
      <c r="D55" s="15" t="s">
        <v>693</v>
      </c>
      <c r="E55" s="15" t="s">
        <v>694</v>
      </c>
      <c r="F55" s="15" t="s">
        <v>695</v>
      </c>
      <c r="G55" s="18" t="s">
        <v>13</v>
      </c>
    </row>
    <row r="56" spans="1:7" ht="26.4" x14ac:dyDescent="0.3">
      <c r="A56" s="15">
        <v>55</v>
      </c>
      <c r="B56" s="15" t="s">
        <v>82</v>
      </c>
      <c r="C56" s="15" t="s">
        <v>83</v>
      </c>
      <c r="D56" s="15" t="s">
        <v>696</v>
      </c>
      <c r="E56" s="15" t="s">
        <v>694</v>
      </c>
      <c r="F56" s="15" t="s">
        <v>695</v>
      </c>
      <c r="G56" s="18" t="s">
        <v>13</v>
      </c>
    </row>
    <row r="57" spans="1:7" ht="26.4" x14ac:dyDescent="0.3">
      <c r="A57" s="15">
        <v>56</v>
      </c>
      <c r="B57" s="15" t="s">
        <v>82</v>
      </c>
      <c r="C57" s="15" t="s">
        <v>83</v>
      </c>
      <c r="D57" s="15" t="s">
        <v>697</v>
      </c>
      <c r="E57" s="15" t="s">
        <v>694</v>
      </c>
      <c r="F57" s="15" t="s">
        <v>695</v>
      </c>
      <c r="G57" s="18" t="s">
        <v>13</v>
      </c>
    </row>
    <row r="58" spans="1:7" ht="26.4" x14ac:dyDescent="0.3">
      <c r="A58" s="15">
        <v>57</v>
      </c>
      <c r="B58" s="15" t="s">
        <v>87</v>
      </c>
      <c r="C58" s="15" t="s">
        <v>89</v>
      </c>
      <c r="D58" s="15" t="s">
        <v>698</v>
      </c>
      <c r="E58" s="15" t="s">
        <v>594</v>
      </c>
      <c r="F58" s="15" t="s">
        <v>699</v>
      </c>
      <c r="G58" s="16" t="s">
        <v>9</v>
      </c>
    </row>
    <row r="59" spans="1:7" ht="26.4" x14ac:dyDescent="0.3">
      <c r="A59" s="15">
        <v>58</v>
      </c>
      <c r="B59" s="15" t="s">
        <v>87</v>
      </c>
      <c r="C59" s="15" t="s">
        <v>89</v>
      </c>
      <c r="D59" s="15" t="s">
        <v>700</v>
      </c>
      <c r="E59" s="15" t="s">
        <v>701</v>
      </c>
      <c r="F59" s="15" t="s">
        <v>699</v>
      </c>
      <c r="G59" s="16" t="s">
        <v>9</v>
      </c>
    </row>
    <row r="60" spans="1:7" ht="26.4" x14ac:dyDescent="0.3">
      <c r="A60" s="15">
        <v>59</v>
      </c>
      <c r="B60" s="15" t="s">
        <v>87</v>
      </c>
      <c r="C60" s="15" t="s">
        <v>89</v>
      </c>
      <c r="D60" s="15" t="s">
        <v>702</v>
      </c>
      <c r="E60" s="15" t="s">
        <v>703</v>
      </c>
      <c r="F60" s="15" t="s">
        <v>699</v>
      </c>
      <c r="G60" s="16" t="s">
        <v>9</v>
      </c>
    </row>
    <row r="61" spans="1:7" ht="26.4" x14ac:dyDescent="0.3">
      <c r="A61" s="15">
        <v>60</v>
      </c>
      <c r="B61" s="15" t="s">
        <v>87</v>
      </c>
      <c r="C61" s="15" t="s">
        <v>89</v>
      </c>
      <c r="D61" s="15" t="s">
        <v>704</v>
      </c>
      <c r="E61" s="15" t="s">
        <v>705</v>
      </c>
      <c r="F61" s="15" t="s">
        <v>699</v>
      </c>
      <c r="G61" s="16" t="s">
        <v>9</v>
      </c>
    </row>
    <row r="62" spans="1:7" ht="26.4" x14ac:dyDescent="0.3">
      <c r="A62" s="15">
        <v>61</v>
      </c>
      <c r="B62" s="15" t="s">
        <v>87</v>
      </c>
      <c r="C62" s="15" t="s">
        <v>89</v>
      </c>
      <c r="D62" s="15" t="s">
        <v>706</v>
      </c>
      <c r="E62" s="15" t="s">
        <v>603</v>
      </c>
      <c r="F62" s="15" t="s">
        <v>699</v>
      </c>
      <c r="G62" s="16" t="s">
        <v>9</v>
      </c>
    </row>
    <row r="63" spans="1:7" ht="26.4" x14ac:dyDescent="0.3">
      <c r="A63" s="15">
        <v>62</v>
      </c>
      <c r="B63" s="15" t="s">
        <v>87</v>
      </c>
      <c r="C63" s="15" t="s">
        <v>89</v>
      </c>
      <c r="D63" s="15" t="s">
        <v>707</v>
      </c>
      <c r="E63" s="15" t="s">
        <v>708</v>
      </c>
      <c r="F63" s="15" t="s">
        <v>699</v>
      </c>
      <c r="G63" s="16" t="s">
        <v>9</v>
      </c>
    </row>
    <row r="64" spans="1:7" ht="26.4" x14ac:dyDescent="0.3">
      <c r="A64" s="15">
        <v>63</v>
      </c>
      <c r="B64" s="15" t="s">
        <v>87</v>
      </c>
      <c r="C64" s="15" t="s">
        <v>89</v>
      </c>
      <c r="D64" s="15" t="s">
        <v>709</v>
      </c>
      <c r="E64" s="15" t="s">
        <v>597</v>
      </c>
      <c r="F64" s="15" t="s">
        <v>699</v>
      </c>
      <c r="G64" s="16" t="s">
        <v>9</v>
      </c>
    </row>
    <row r="65" spans="1:7" ht="26.4" x14ac:dyDescent="0.3">
      <c r="A65" s="15">
        <v>64</v>
      </c>
      <c r="B65" s="15" t="s">
        <v>87</v>
      </c>
      <c r="C65" s="15" t="s">
        <v>89</v>
      </c>
      <c r="D65" s="15" t="s">
        <v>710</v>
      </c>
      <c r="E65" s="15" t="s">
        <v>609</v>
      </c>
      <c r="F65" s="15" t="s">
        <v>699</v>
      </c>
      <c r="G65" s="16" t="s">
        <v>9</v>
      </c>
    </row>
    <row r="66" spans="1:7" ht="26.4" x14ac:dyDescent="0.3">
      <c r="A66" s="15">
        <v>65</v>
      </c>
      <c r="B66" s="15" t="s">
        <v>87</v>
      </c>
      <c r="C66" s="15" t="s">
        <v>89</v>
      </c>
      <c r="D66" s="15" t="s">
        <v>711</v>
      </c>
      <c r="E66" s="15" t="s">
        <v>712</v>
      </c>
      <c r="F66" s="15" t="s">
        <v>699</v>
      </c>
      <c r="G66" s="16" t="s">
        <v>9</v>
      </c>
    </row>
    <row r="67" spans="1:7" ht="26.4" x14ac:dyDescent="0.3">
      <c r="A67" s="15">
        <v>66</v>
      </c>
      <c r="B67" s="15" t="s">
        <v>87</v>
      </c>
      <c r="C67" s="15" t="s">
        <v>89</v>
      </c>
      <c r="D67" s="15" t="s">
        <v>713</v>
      </c>
      <c r="E67" s="15" t="s">
        <v>714</v>
      </c>
      <c r="F67" s="15" t="s">
        <v>699</v>
      </c>
      <c r="G67" s="16" t="s">
        <v>9</v>
      </c>
    </row>
    <row r="68" spans="1:7" ht="26.4" x14ac:dyDescent="0.3">
      <c r="A68" s="15">
        <v>67</v>
      </c>
      <c r="B68" s="15" t="s">
        <v>87</v>
      </c>
      <c r="C68" s="15" t="s">
        <v>89</v>
      </c>
      <c r="D68" s="15" t="s">
        <v>715</v>
      </c>
      <c r="E68" s="15" t="s">
        <v>716</v>
      </c>
      <c r="F68" s="15" t="s">
        <v>699</v>
      </c>
      <c r="G68" s="16" t="s">
        <v>9</v>
      </c>
    </row>
    <row r="69" spans="1:7" ht="26.4" x14ac:dyDescent="0.3">
      <c r="A69" s="15">
        <v>68</v>
      </c>
      <c r="B69" s="15" t="s">
        <v>87</v>
      </c>
      <c r="C69" s="15" t="s">
        <v>89</v>
      </c>
      <c r="D69" s="15" t="s">
        <v>717</v>
      </c>
      <c r="E69" s="15" t="s">
        <v>718</v>
      </c>
      <c r="F69" s="15" t="s">
        <v>719</v>
      </c>
      <c r="G69" s="16" t="s">
        <v>9</v>
      </c>
    </row>
    <row r="70" spans="1:7" ht="26.4" x14ac:dyDescent="0.3">
      <c r="A70" s="15">
        <v>69</v>
      </c>
      <c r="B70" s="15" t="s">
        <v>87</v>
      </c>
      <c r="C70" s="15" t="s">
        <v>89</v>
      </c>
      <c r="D70" s="15" t="s">
        <v>720</v>
      </c>
      <c r="E70" s="15" t="s">
        <v>721</v>
      </c>
      <c r="F70" s="15" t="s">
        <v>719</v>
      </c>
      <c r="G70" s="16" t="s">
        <v>9</v>
      </c>
    </row>
    <row r="71" spans="1:7" ht="26.4" x14ac:dyDescent="0.3">
      <c r="A71" s="15">
        <v>70</v>
      </c>
      <c r="B71" s="15" t="s">
        <v>94</v>
      </c>
      <c r="C71" s="15" t="s">
        <v>95</v>
      </c>
      <c r="D71" s="15" t="s">
        <v>722</v>
      </c>
      <c r="E71" s="15" t="s">
        <v>594</v>
      </c>
      <c r="F71" s="15" t="s">
        <v>723</v>
      </c>
      <c r="G71" s="18" t="s">
        <v>13</v>
      </c>
    </row>
    <row r="72" spans="1:7" ht="26.4" x14ac:dyDescent="0.3">
      <c r="A72" s="15">
        <v>71</v>
      </c>
      <c r="B72" s="15" t="s">
        <v>94</v>
      </c>
      <c r="C72" s="15" t="s">
        <v>95</v>
      </c>
      <c r="D72" s="15" t="s">
        <v>724</v>
      </c>
      <c r="E72" s="15" t="s">
        <v>725</v>
      </c>
      <c r="F72" s="15" t="s">
        <v>723</v>
      </c>
      <c r="G72" s="18" t="s">
        <v>13</v>
      </c>
    </row>
    <row r="73" spans="1:7" ht="26.4" x14ac:dyDescent="0.3">
      <c r="A73" s="15">
        <v>72</v>
      </c>
      <c r="B73" s="15" t="s">
        <v>94</v>
      </c>
      <c r="C73" s="15" t="s">
        <v>95</v>
      </c>
      <c r="D73" s="15" t="s">
        <v>726</v>
      </c>
      <c r="E73" s="15" t="s">
        <v>597</v>
      </c>
      <c r="F73" s="15" t="s">
        <v>723</v>
      </c>
      <c r="G73" s="18" t="s">
        <v>13</v>
      </c>
    </row>
    <row r="74" spans="1:7" ht="26.4" x14ac:dyDescent="0.3">
      <c r="A74" s="15">
        <v>73</v>
      </c>
      <c r="B74" s="15" t="s">
        <v>100</v>
      </c>
      <c r="C74" s="15" t="s">
        <v>101</v>
      </c>
      <c r="D74" s="15" t="s">
        <v>727</v>
      </c>
      <c r="E74" s="15" t="s">
        <v>594</v>
      </c>
      <c r="F74" s="15" t="s">
        <v>728</v>
      </c>
      <c r="G74" s="18" t="s">
        <v>13</v>
      </c>
    </row>
    <row r="75" spans="1:7" ht="26.4" x14ac:dyDescent="0.3">
      <c r="A75" s="15">
        <v>74</v>
      </c>
      <c r="B75" s="15" t="s">
        <v>100</v>
      </c>
      <c r="C75" s="15" t="s">
        <v>101</v>
      </c>
      <c r="D75" s="15" t="s">
        <v>729</v>
      </c>
      <c r="E75" s="15" t="s">
        <v>730</v>
      </c>
      <c r="F75" s="15" t="s">
        <v>728</v>
      </c>
      <c r="G75" s="18" t="s">
        <v>13</v>
      </c>
    </row>
    <row r="76" spans="1:7" ht="26.4" x14ac:dyDescent="0.3">
      <c r="A76" s="15">
        <v>75</v>
      </c>
      <c r="B76" s="15" t="s">
        <v>100</v>
      </c>
      <c r="C76" s="15" t="s">
        <v>101</v>
      </c>
      <c r="D76" s="15" t="s">
        <v>731</v>
      </c>
      <c r="E76" s="15" t="s">
        <v>603</v>
      </c>
      <c r="F76" s="15" t="s">
        <v>728</v>
      </c>
      <c r="G76" s="18" t="s">
        <v>13</v>
      </c>
    </row>
    <row r="77" spans="1:7" ht="26.4" x14ac:dyDescent="0.3">
      <c r="A77" s="15">
        <v>76</v>
      </c>
      <c r="B77" s="15" t="s">
        <v>100</v>
      </c>
      <c r="C77" s="15" t="s">
        <v>101</v>
      </c>
      <c r="D77" s="15" t="s">
        <v>732</v>
      </c>
      <c r="E77" s="15" t="s">
        <v>607</v>
      </c>
      <c r="F77" s="15" t="s">
        <v>728</v>
      </c>
      <c r="G77" s="18" t="s">
        <v>13</v>
      </c>
    </row>
    <row r="78" spans="1:7" ht="26.4" x14ac:dyDescent="0.3">
      <c r="A78" s="15">
        <v>77</v>
      </c>
      <c r="B78" s="15" t="s">
        <v>105</v>
      </c>
      <c r="C78" s="15" t="s">
        <v>106</v>
      </c>
      <c r="D78" s="15" t="s">
        <v>733</v>
      </c>
      <c r="E78" s="15" t="s">
        <v>594</v>
      </c>
      <c r="F78" s="15" t="s">
        <v>734</v>
      </c>
      <c r="G78" s="18" t="s">
        <v>13</v>
      </c>
    </row>
    <row r="79" spans="1:7" ht="26.4" x14ac:dyDescent="0.3">
      <c r="A79" s="15">
        <v>78</v>
      </c>
      <c r="B79" s="15" t="s">
        <v>105</v>
      </c>
      <c r="C79" s="15" t="s">
        <v>106</v>
      </c>
      <c r="D79" s="15" t="s">
        <v>735</v>
      </c>
      <c r="E79" s="15" t="s">
        <v>597</v>
      </c>
      <c r="F79" s="15" t="s">
        <v>734</v>
      </c>
      <c r="G79" s="18" t="s">
        <v>13</v>
      </c>
    </row>
    <row r="80" spans="1:7" ht="26.4" x14ac:dyDescent="0.3">
      <c r="A80" s="15">
        <v>79</v>
      </c>
      <c r="B80" s="15" t="s">
        <v>110</v>
      </c>
      <c r="C80" s="15" t="s">
        <v>111</v>
      </c>
      <c r="D80" s="15" t="s">
        <v>736</v>
      </c>
      <c r="E80" s="15" t="s">
        <v>594</v>
      </c>
      <c r="F80" s="15" t="s">
        <v>737</v>
      </c>
      <c r="G80" s="16" t="s">
        <v>9</v>
      </c>
    </row>
    <row r="81" spans="1:7" ht="26.4" x14ac:dyDescent="0.3">
      <c r="A81" s="15">
        <v>80</v>
      </c>
      <c r="B81" s="15" t="s">
        <v>110</v>
      </c>
      <c r="C81" s="15" t="s">
        <v>111</v>
      </c>
      <c r="D81" s="15" t="s">
        <v>738</v>
      </c>
      <c r="E81" s="15" t="s">
        <v>739</v>
      </c>
      <c r="F81" s="15" t="s">
        <v>737</v>
      </c>
      <c r="G81" s="16" t="s">
        <v>9</v>
      </c>
    </row>
    <row r="82" spans="1:7" ht="26.4" x14ac:dyDescent="0.3">
      <c r="A82" s="15">
        <v>81</v>
      </c>
      <c r="B82" s="15" t="s">
        <v>110</v>
      </c>
      <c r="C82" s="15" t="s">
        <v>111</v>
      </c>
      <c r="D82" s="15" t="s">
        <v>740</v>
      </c>
      <c r="E82" s="15" t="s">
        <v>741</v>
      </c>
      <c r="F82" s="15" t="s">
        <v>737</v>
      </c>
      <c r="G82" s="16" t="s">
        <v>9</v>
      </c>
    </row>
    <row r="83" spans="1:7" ht="26.4" x14ac:dyDescent="0.3">
      <c r="A83" s="15">
        <v>82</v>
      </c>
      <c r="B83" s="15" t="s">
        <v>110</v>
      </c>
      <c r="C83" s="15" t="s">
        <v>111</v>
      </c>
      <c r="D83" s="15" t="s">
        <v>742</v>
      </c>
      <c r="E83" s="15" t="s">
        <v>743</v>
      </c>
      <c r="F83" s="15" t="s">
        <v>737</v>
      </c>
      <c r="G83" s="16" t="s">
        <v>9</v>
      </c>
    </row>
    <row r="84" spans="1:7" ht="26.4" x14ac:dyDescent="0.3">
      <c r="A84" s="15">
        <v>83</v>
      </c>
      <c r="B84" s="15" t="s">
        <v>110</v>
      </c>
      <c r="C84" s="15" t="s">
        <v>111</v>
      </c>
      <c r="D84" s="15" t="s">
        <v>744</v>
      </c>
      <c r="E84" s="15" t="s">
        <v>603</v>
      </c>
      <c r="F84" s="15" t="s">
        <v>737</v>
      </c>
      <c r="G84" s="16" t="s">
        <v>9</v>
      </c>
    </row>
    <row r="85" spans="1:7" ht="26.4" x14ac:dyDescent="0.3">
      <c r="A85" s="15">
        <v>84</v>
      </c>
      <c r="B85" s="15" t="s">
        <v>110</v>
      </c>
      <c r="C85" s="15" t="s">
        <v>111</v>
      </c>
      <c r="D85" s="15" t="s">
        <v>745</v>
      </c>
      <c r="E85" s="15" t="s">
        <v>607</v>
      </c>
      <c r="F85" s="15" t="s">
        <v>737</v>
      </c>
      <c r="G85" s="16" t="s">
        <v>9</v>
      </c>
    </row>
    <row r="86" spans="1:7" ht="26.4" x14ac:dyDescent="0.3">
      <c r="A86" s="15">
        <v>85</v>
      </c>
      <c r="B86" s="15" t="s">
        <v>110</v>
      </c>
      <c r="C86" s="15" t="s">
        <v>111</v>
      </c>
      <c r="D86" s="15" t="s">
        <v>746</v>
      </c>
      <c r="E86" s="15" t="s">
        <v>597</v>
      </c>
      <c r="F86" s="15" t="s">
        <v>737</v>
      </c>
      <c r="G86" s="16" t="s">
        <v>9</v>
      </c>
    </row>
    <row r="87" spans="1:7" ht="26.4" x14ac:dyDescent="0.3">
      <c r="A87" s="15">
        <v>86</v>
      </c>
      <c r="B87" s="15" t="s">
        <v>110</v>
      </c>
      <c r="C87" s="15" t="s">
        <v>111</v>
      </c>
      <c r="D87" s="15" t="s">
        <v>747</v>
      </c>
      <c r="E87" s="15" t="s">
        <v>748</v>
      </c>
      <c r="F87" s="15" t="s">
        <v>737</v>
      </c>
      <c r="G87" s="16" t="s">
        <v>9</v>
      </c>
    </row>
    <row r="88" spans="1:7" ht="26.4" x14ac:dyDescent="0.3">
      <c r="A88" s="15">
        <v>87</v>
      </c>
      <c r="B88" s="15" t="s">
        <v>110</v>
      </c>
      <c r="C88" s="15" t="s">
        <v>111</v>
      </c>
      <c r="D88" s="15" t="s">
        <v>749</v>
      </c>
      <c r="E88" s="15" t="s">
        <v>718</v>
      </c>
      <c r="F88" s="15" t="s">
        <v>750</v>
      </c>
      <c r="G88" s="16" t="s">
        <v>9</v>
      </c>
    </row>
    <row r="89" spans="1:7" ht="26.4" x14ac:dyDescent="0.3">
      <c r="A89" s="15">
        <v>88</v>
      </c>
      <c r="B89" s="15" t="s">
        <v>110</v>
      </c>
      <c r="C89" s="15" t="s">
        <v>111</v>
      </c>
      <c r="D89" s="15" t="s">
        <v>751</v>
      </c>
      <c r="E89" s="15" t="s">
        <v>718</v>
      </c>
      <c r="F89" s="15" t="s">
        <v>750</v>
      </c>
      <c r="G89" s="16" t="s">
        <v>9</v>
      </c>
    </row>
    <row r="90" spans="1:7" ht="26.4" x14ac:dyDescent="0.3">
      <c r="A90" s="15">
        <v>89</v>
      </c>
      <c r="B90" s="15" t="s">
        <v>116</v>
      </c>
      <c r="C90" s="15" t="s">
        <v>117</v>
      </c>
      <c r="D90" s="15" t="s">
        <v>752</v>
      </c>
      <c r="E90" s="15" t="s">
        <v>594</v>
      </c>
      <c r="F90" s="15" t="s">
        <v>753</v>
      </c>
      <c r="G90" s="18" t="s">
        <v>13</v>
      </c>
    </row>
    <row r="91" spans="1:7" ht="26.4" x14ac:dyDescent="0.3">
      <c r="A91" s="15">
        <v>90</v>
      </c>
      <c r="B91" s="15" t="s">
        <v>116</v>
      </c>
      <c r="C91" s="15" t="s">
        <v>117</v>
      </c>
      <c r="D91" s="15" t="s">
        <v>754</v>
      </c>
      <c r="E91" s="15" t="s">
        <v>755</v>
      </c>
      <c r="F91" s="15" t="s">
        <v>753</v>
      </c>
      <c r="G91" s="18" t="s">
        <v>13</v>
      </c>
    </row>
    <row r="92" spans="1:7" ht="26.4" x14ac:dyDescent="0.3">
      <c r="A92" s="15">
        <v>91</v>
      </c>
      <c r="B92" s="15" t="s">
        <v>116</v>
      </c>
      <c r="C92" s="15" t="s">
        <v>117</v>
      </c>
      <c r="D92" s="15" t="s">
        <v>756</v>
      </c>
      <c r="E92" s="15" t="s">
        <v>603</v>
      </c>
      <c r="F92" s="15" t="s">
        <v>753</v>
      </c>
      <c r="G92" s="18" t="s">
        <v>13</v>
      </c>
    </row>
    <row r="93" spans="1:7" x14ac:dyDescent="0.3">
      <c r="A93" s="15">
        <v>92</v>
      </c>
      <c r="B93" s="15" t="s">
        <v>121</v>
      </c>
      <c r="C93" s="15" t="s">
        <v>122</v>
      </c>
      <c r="D93" s="15" t="s">
        <v>757</v>
      </c>
      <c r="E93" s="15" t="s">
        <v>594</v>
      </c>
      <c r="F93" s="15" t="s">
        <v>758</v>
      </c>
      <c r="G93" s="18" t="s">
        <v>13</v>
      </c>
    </row>
    <row r="94" spans="1:7" x14ac:dyDescent="0.3">
      <c r="A94" s="15">
        <v>93</v>
      </c>
      <c r="B94" s="15" t="s">
        <v>121</v>
      </c>
      <c r="C94" s="15" t="s">
        <v>122</v>
      </c>
      <c r="D94" s="15" t="s">
        <v>759</v>
      </c>
      <c r="E94" s="15" t="s">
        <v>597</v>
      </c>
      <c r="F94" s="15" t="s">
        <v>758</v>
      </c>
      <c r="G94" s="18" t="s">
        <v>13</v>
      </c>
    </row>
    <row r="95" spans="1:7" x14ac:dyDescent="0.3">
      <c r="A95" s="15">
        <v>94</v>
      </c>
      <c r="B95" s="15" t="s">
        <v>126</v>
      </c>
      <c r="C95" s="15" t="s">
        <v>127</v>
      </c>
      <c r="D95" s="15" t="s">
        <v>760</v>
      </c>
      <c r="E95" s="15" t="s">
        <v>594</v>
      </c>
      <c r="F95" s="15" t="s">
        <v>761</v>
      </c>
      <c r="G95" s="18" t="s">
        <v>13</v>
      </c>
    </row>
    <row r="96" spans="1:7" x14ac:dyDescent="0.3">
      <c r="A96" s="15">
        <v>95</v>
      </c>
      <c r="B96" s="15" t="s">
        <v>126</v>
      </c>
      <c r="C96" s="15" t="s">
        <v>127</v>
      </c>
      <c r="D96" s="15" t="s">
        <v>762</v>
      </c>
      <c r="E96" s="15" t="s">
        <v>763</v>
      </c>
      <c r="F96" s="15" t="s">
        <v>761</v>
      </c>
      <c r="G96" s="18" t="s">
        <v>13</v>
      </c>
    </row>
    <row r="97" spans="1:7" x14ac:dyDescent="0.3">
      <c r="A97" s="15">
        <v>96</v>
      </c>
      <c r="B97" s="15" t="s">
        <v>131</v>
      </c>
      <c r="C97" s="15" t="s">
        <v>132</v>
      </c>
      <c r="D97" s="15" t="s">
        <v>764</v>
      </c>
      <c r="E97" s="15" t="s">
        <v>594</v>
      </c>
      <c r="F97" s="15" t="s">
        <v>765</v>
      </c>
      <c r="G97" s="18" t="s">
        <v>13</v>
      </c>
    </row>
    <row r="98" spans="1:7" x14ac:dyDescent="0.3">
      <c r="A98" s="15">
        <v>97</v>
      </c>
      <c r="B98" s="15" t="s">
        <v>136</v>
      </c>
      <c r="C98" s="15" t="s">
        <v>137</v>
      </c>
      <c r="D98" s="15" t="s">
        <v>766</v>
      </c>
      <c r="E98" s="15" t="s">
        <v>594</v>
      </c>
      <c r="F98" s="15" t="s">
        <v>767</v>
      </c>
      <c r="G98" s="18" t="s">
        <v>13</v>
      </c>
    </row>
    <row r="99" spans="1:7" x14ac:dyDescent="0.3">
      <c r="A99" s="15">
        <v>98</v>
      </c>
      <c r="B99" s="15" t="s">
        <v>136</v>
      </c>
      <c r="C99" s="15" t="s">
        <v>137</v>
      </c>
      <c r="D99" s="15" t="s">
        <v>768</v>
      </c>
      <c r="E99" s="15" t="s">
        <v>730</v>
      </c>
      <c r="F99" s="15" t="s">
        <v>767</v>
      </c>
      <c r="G99" s="18" t="s">
        <v>13</v>
      </c>
    </row>
    <row r="100" spans="1:7" ht="26.4" x14ac:dyDescent="0.3">
      <c r="A100" s="15">
        <v>99</v>
      </c>
      <c r="B100" s="15" t="s">
        <v>141</v>
      </c>
      <c r="C100" s="15" t="s">
        <v>142</v>
      </c>
      <c r="D100" s="15" t="s">
        <v>769</v>
      </c>
      <c r="E100" s="15" t="s">
        <v>594</v>
      </c>
      <c r="F100" s="15" t="s">
        <v>770</v>
      </c>
      <c r="G100" s="18" t="s">
        <v>13</v>
      </c>
    </row>
    <row r="101" spans="1:7" x14ac:dyDescent="0.3">
      <c r="A101" s="15">
        <v>100</v>
      </c>
      <c r="B101" s="15" t="s">
        <v>146</v>
      </c>
      <c r="C101" s="15" t="s">
        <v>147</v>
      </c>
      <c r="D101" s="15" t="s">
        <v>771</v>
      </c>
      <c r="E101" s="15" t="s">
        <v>594</v>
      </c>
      <c r="F101" s="15" t="s">
        <v>770</v>
      </c>
      <c r="G101" s="18" t="s">
        <v>13</v>
      </c>
    </row>
    <row r="102" spans="1:7" x14ac:dyDescent="0.3">
      <c r="A102" s="15">
        <v>101</v>
      </c>
      <c r="B102" s="15" t="s">
        <v>146</v>
      </c>
      <c r="C102" s="15" t="s">
        <v>147</v>
      </c>
      <c r="D102" s="15" t="s">
        <v>772</v>
      </c>
      <c r="E102" s="15" t="s">
        <v>773</v>
      </c>
      <c r="F102" s="15" t="s">
        <v>770</v>
      </c>
      <c r="G102" s="18" t="s">
        <v>13</v>
      </c>
    </row>
    <row r="103" spans="1:7" x14ac:dyDescent="0.3">
      <c r="A103" s="15">
        <v>102</v>
      </c>
      <c r="B103" s="15" t="s">
        <v>151</v>
      </c>
      <c r="C103" s="15" t="s">
        <v>153</v>
      </c>
      <c r="D103" s="15" t="s">
        <v>774</v>
      </c>
      <c r="E103" s="15" t="s">
        <v>594</v>
      </c>
      <c r="F103" s="15" t="s">
        <v>775</v>
      </c>
      <c r="G103" s="19" t="s">
        <v>15</v>
      </c>
    </row>
    <row r="104" spans="1:7" x14ac:dyDescent="0.3">
      <c r="A104" s="15">
        <v>103</v>
      </c>
      <c r="B104" s="15" t="s">
        <v>151</v>
      </c>
      <c r="C104" s="15" t="s">
        <v>153</v>
      </c>
      <c r="D104" s="15" t="s">
        <v>776</v>
      </c>
      <c r="E104" s="15" t="s">
        <v>777</v>
      </c>
      <c r="F104" s="15" t="s">
        <v>775</v>
      </c>
      <c r="G104" s="19" t="s">
        <v>15</v>
      </c>
    </row>
    <row r="105" spans="1:7" x14ac:dyDescent="0.3">
      <c r="A105" s="15">
        <v>104</v>
      </c>
      <c r="B105" s="15" t="s">
        <v>151</v>
      </c>
      <c r="C105" s="15" t="s">
        <v>153</v>
      </c>
      <c r="D105" s="15" t="s">
        <v>778</v>
      </c>
      <c r="E105" s="15" t="s">
        <v>607</v>
      </c>
      <c r="F105" s="15" t="s">
        <v>775</v>
      </c>
      <c r="G105" s="19" t="s">
        <v>15</v>
      </c>
    </row>
    <row r="106" spans="1:7" x14ac:dyDescent="0.3">
      <c r="A106" s="15">
        <v>105</v>
      </c>
      <c r="B106" s="15" t="s">
        <v>158</v>
      </c>
      <c r="C106" s="15" t="s">
        <v>159</v>
      </c>
      <c r="D106" s="15" t="s">
        <v>779</v>
      </c>
      <c r="E106" s="15" t="s">
        <v>594</v>
      </c>
      <c r="F106" s="15" t="s">
        <v>780</v>
      </c>
      <c r="G106" s="18" t="s">
        <v>13</v>
      </c>
    </row>
    <row r="107" spans="1:7" x14ac:dyDescent="0.3">
      <c r="A107" s="15">
        <v>106</v>
      </c>
      <c r="B107" s="15" t="s">
        <v>158</v>
      </c>
      <c r="C107" s="15" t="s">
        <v>159</v>
      </c>
      <c r="D107" s="15" t="s">
        <v>781</v>
      </c>
      <c r="E107" s="15" t="s">
        <v>601</v>
      </c>
      <c r="F107" s="15" t="s">
        <v>780</v>
      </c>
      <c r="G107" s="18" t="s">
        <v>13</v>
      </c>
    </row>
    <row r="108" spans="1:7" x14ac:dyDescent="0.3">
      <c r="A108" s="15">
        <v>107</v>
      </c>
      <c r="B108" s="15" t="s">
        <v>163</v>
      </c>
      <c r="C108" s="15" t="s">
        <v>164</v>
      </c>
      <c r="D108" s="15" t="s">
        <v>782</v>
      </c>
      <c r="E108" s="15" t="s">
        <v>594</v>
      </c>
      <c r="F108" s="15" t="s">
        <v>783</v>
      </c>
      <c r="G108" s="18" t="s">
        <v>13</v>
      </c>
    </row>
    <row r="109" spans="1:7" x14ac:dyDescent="0.3">
      <c r="A109" s="15">
        <v>108</v>
      </c>
      <c r="B109" s="15" t="s">
        <v>163</v>
      </c>
      <c r="C109" s="15" t="s">
        <v>164</v>
      </c>
      <c r="D109" s="15" t="s">
        <v>784</v>
      </c>
      <c r="E109" s="15" t="s">
        <v>605</v>
      </c>
      <c r="F109" s="15" t="s">
        <v>783</v>
      </c>
      <c r="G109" s="18" t="s">
        <v>13</v>
      </c>
    </row>
    <row r="110" spans="1:7" x14ac:dyDescent="0.3">
      <c r="A110" s="15">
        <v>109</v>
      </c>
      <c r="B110" s="15" t="s">
        <v>163</v>
      </c>
      <c r="C110" s="15" t="s">
        <v>164</v>
      </c>
      <c r="D110" s="15" t="s">
        <v>785</v>
      </c>
      <c r="E110" s="15" t="s">
        <v>730</v>
      </c>
      <c r="F110" s="15" t="s">
        <v>783</v>
      </c>
      <c r="G110" s="18" t="s">
        <v>13</v>
      </c>
    </row>
    <row r="111" spans="1:7" x14ac:dyDescent="0.3">
      <c r="A111" s="15">
        <v>110</v>
      </c>
      <c r="B111" s="15" t="s">
        <v>163</v>
      </c>
      <c r="C111" s="15" t="s">
        <v>164</v>
      </c>
      <c r="D111" s="15" t="s">
        <v>786</v>
      </c>
      <c r="E111" s="15" t="s">
        <v>603</v>
      </c>
      <c r="F111" s="15" t="s">
        <v>783</v>
      </c>
      <c r="G111" s="18" t="s">
        <v>13</v>
      </c>
    </row>
    <row r="112" spans="1:7" ht="26.4" x14ac:dyDescent="0.3">
      <c r="A112" s="15">
        <v>111</v>
      </c>
      <c r="B112" s="15" t="s">
        <v>168</v>
      </c>
      <c r="C112" s="15" t="s">
        <v>169</v>
      </c>
      <c r="D112" s="15" t="s">
        <v>787</v>
      </c>
      <c r="E112" s="15" t="s">
        <v>594</v>
      </c>
      <c r="F112" s="15" t="s">
        <v>788</v>
      </c>
      <c r="G112" s="19" t="s">
        <v>15</v>
      </c>
    </row>
    <row r="113" spans="1:7" ht="26.4" x14ac:dyDescent="0.3">
      <c r="A113" s="15">
        <v>112</v>
      </c>
      <c r="B113" s="15" t="s">
        <v>173</v>
      </c>
      <c r="C113" s="15" t="s">
        <v>174</v>
      </c>
      <c r="D113" s="15" t="s">
        <v>789</v>
      </c>
      <c r="E113" s="15" t="s">
        <v>594</v>
      </c>
      <c r="F113" s="15" t="s">
        <v>790</v>
      </c>
      <c r="G113" s="19" t="s">
        <v>15</v>
      </c>
    </row>
    <row r="114" spans="1:7" ht="26.4" x14ac:dyDescent="0.3">
      <c r="A114" s="15">
        <v>113</v>
      </c>
      <c r="B114" s="15" t="s">
        <v>173</v>
      </c>
      <c r="C114" s="15" t="s">
        <v>174</v>
      </c>
      <c r="D114" s="15" t="s">
        <v>791</v>
      </c>
      <c r="E114" s="15" t="s">
        <v>792</v>
      </c>
      <c r="F114" s="15" t="s">
        <v>790</v>
      </c>
      <c r="G114" s="19" t="s">
        <v>15</v>
      </c>
    </row>
    <row r="115" spans="1:7" x14ac:dyDescent="0.3">
      <c r="A115" s="15">
        <v>114</v>
      </c>
      <c r="B115" s="15" t="s">
        <v>179</v>
      </c>
      <c r="C115" s="15" t="s">
        <v>180</v>
      </c>
      <c r="D115" s="15" t="s">
        <v>793</v>
      </c>
      <c r="E115" s="15" t="s">
        <v>594</v>
      </c>
      <c r="F115" s="15" t="s">
        <v>770</v>
      </c>
      <c r="G115" s="18" t="s">
        <v>13</v>
      </c>
    </row>
    <row r="116" spans="1:7" x14ac:dyDescent="0.3">
      <c r="A116" s="15">
        <v>115</v>
      </c>
      <c r="B116" s="15" t="s">
        <v>179</v>
      </c>
      <c r="C116" s="15" t="s">
        <v>180</v>
      </c>
      <c r="D116" s="15" t="s">
        <v>794</v>
      </c>
      <c r="E116" s="15" t="s">
        <v>597</v>
      </c>
      <c r="F116" s="15" t="s">
        <v>770</v>
      </c>
      <c r="G116" s="18" t="s">
        <v>13</v>
      </c>
    </row>
    <row r="117" spans="1:7" x14ac:dyDescent="0.3">
      <c r="A117" s="15">
        <v>116</v>
      </c>
      <c r="B117" s="15" t="s">
        <v>184</v>
      </c>
      <c r="C117" s="15" t="s">
        <v>185</v>
      </c>
      <c r="D117" s="15" t="s">
        <v>795</v>
      </c>
      <c r="E117" s="15" t="s">
        <v>594</v>
      </c>
      <c r="F117" s="15" t="s">
        <v>788</v>
      </c>
      <c r="G117" s="19" t="s">
        <v>15</v>
      </c>
    </row>
    <row r="118" spans="1:7" ht="26.4" x14ac:dyDescent="0.3">
      <c r="A118" s="15">
        <v>117</v>
      </c>
      <c r="B118" s="15" t="s">
        <v>189</v>
      </c>
      <c r="C118" s="15" t="s">
        <v>191</v>
      </c>
      <c r="D118" s="15" t="s">
        <v>796</v>
      </c>
      <c r="E118" s="15" t="s">
        <v>594</v>
      </c>
      <c r="F118" s="15" t="s">
        <v>797</v>
      </c>
      <c r="G118" s="16" t="s">
        <v>9</v>
      </c>
    </row>
    <row r="119" spans="1:7" ht="26.4" x14ac:dyDescent="0.3">
      <c r="A119" s="15">
        <v>118</v>
      </c>
      <c r="B119" s="15" t="s">
        <v>189</v>
      </c>
      <c r="C119" s="15" t="s">
        <v>191</v>
      </c>
      <c r="D119" s="15" t="s">
        <v>798</v>
      </c>
      <c r="E119" s="15" t="s">
        <v>650</v>
      </c>
      <c r="F119" s="15" t="s">
        <v>797</v>
      </c>
      <c r="G119" s="16" t="s">
        <v>9</v>
      </c>
    </row>
    <row r="120" spans="1:7" ht="26.4" x14ac:dyDescent="0.3">
      <c r="A120" s="15">
        <v>119</v>
      </c>
      <c r="B120" s="15" t="s">
        <v>189</v>
      </c>
      <c r="C120" s="15" t="s">
        <v>191</v>
      </c>
      <c r="D120" s="15" t="s">
        <v>799</v>
      </c>
      <c r="E120" s="15" t="s">
        <v>800</v>
      </c>
      <c r="F120" s="15" t="s">
        <v>797</v>
      </c>
      <c r="G120" s="16" t="s">
        <v>9</v>
      </c>
    </row>
    <row r="121" spans="1:7" ht="26.4" x14ac:dyDescent="0.3">
      <c r="A121" s="15">
        <v>120</v>
      </c>
      <c r="B121" s="15" t="s">
        <v>189</v>
      </c>
      <c r="C121" s="15" t="s">
        <v>191</v>
      </c>
      <c r="D121" s="15" t="s">
        <v>801</v>
      </c>
      <c r="E121" s="15" t="s">
        <v>802</v>
      </c>
      <c r="F121" s="15" t="s">
        <v>797</v>
      </c>
      <c r="G121" s="16" t="s">
        <v>9</v>
      </c>
    </row>
    <row r="122" spans="1:7" ht="26.4" x14ac:dyDescent="0.3">
      <c r="A122" s="15">
        <v>121</v>
      </c>
      <c r="B122" s="15" t="s">
        <v>189</v>
      </c>
      <c r="C122" s="15" t="s">
        <v>191</v>
      </c>
      <c r="D122" s="15" t="s">
        <v>803</v>
      </c>
      <c r="E122" s="15" t="s">
        <v>804</v>
      </c>
      <c r="F122" s="15" t="s">
        <v>797</v>
      </c>
      <c r="G122" s="16" t="s">
        <v>9</v>
      </c>
    </row>
    <row r="123" spans="1:7" ht="26.4" x14ac:dyDescent="0.3">
      <c r="A123" s="15">
        <v>122</v>
      </c>
      <c r="B123" s="15" t="s">
        <v>189</v>
      </c>
      <c r="C123" s="15" t="s">
        <v>191</v>
      </c>
      <c r="D123" s="15" t="s">
        <v>805</v>
      </c>
      <c r="E123" s="15" t="s">
        <v>806</v>
      </c>
      <c r="F123" s="15" t="s">
        <v>797</v>
      </c>
      <c r="G123" s="16" t="s">
        <v>9</v>
      </c>
    </row>
    <row r="124" spans="1:7" ht="26.4" x14ac:dyDescent="0.3">
      <c r="A124" s="15">
        <v>123</v>
      </c>
      <c r="B124" s="15" t="s">
        <v>189</v>
      </c>
      <c r="C124" s="15" t="s">
        <v>191</v>
      </c>
      <c r="D124" s="15" t="s">
        <v>807</v>
      </c>
      <c r="E124" s="15" t="s">
        <v>611</v>
      </c>
      <c r="F124" s="15" t="s">
        <v>797</v>
      </c>
      <c r="G124" s="16" t="s">
        <v>9</v>
      </c>
    </row>
    <row r="125" spans="1:7" ht="26.4" x14ac:dyDescent="0.3">
      <c r="A125" s="15">
        <v>124</v>
      </c>
      <c r="B125" s="15" t="s">
        <v>189</v>
      </c>
      <c r="C125" s="15" t="s">
        <v>191</v>
      </c>
      <c r="D125" s="15" t="s">
        <v>808</v>
      </c>
      <c r="E125" s="15" t="s">
        <v>607</v>
      </c>
      <c r="F125" s="15" t="s">
        <v>797</v>
      </c>
      <c r="G125" s="16" t="s">
        <v>9</v>
      </c>
    </row>
    <row r="126" spans="1:7" ht="26.4" x14ac:dyDescent="0.3">
      <c r="A126" s="15">
        <v>125</v>
      </c>
      <c r="B126" s="15" t="s">
        <v>189</v>
      </c>
      <c r="C126" s="15" t="s">
        <v>191</v>
      </c>
      <c r="D126" s="15" t="s">
        <v>809</v>
      </c>
      <c r="E126" s="15" t="s">
        <v>75</v>
      </c>
      <c r="F126" s="15" t="s">
        <v>797</v>
      </c>
      <c r="G126" s="16" t="s">
        <v>9</v>
      </c>
    </row>
    <row r="127" spans="1:7" ht="26.4" x14ac:dyDescent="0.3">
      <c r="A127" s="15">
        <v>126</v>
      </c>
      <c r="B127" s="15" t="s">
        <v>189</v>
      </c>
      <c r="C127" s="15" t="s">
        <v>191</v>
      </c>
      <c r="D127" s="15" t="s">
        <v>810</v>
      </c>
      <c r="E127" s="15" t="s">
        <v>811</v>
      </c>
      <c r="F127" s="15" t="s">
        <v>797</v>
      </c>
      <c r="G127" s="16" t="s">
        <v>9</v>
      </c>
    </row>
    <row r="128" spans="1:7" ht="26.4" x14ac:dyDescent="0.3">
      <c r="A128" s="15">
        <v>127</v>
      </c>
      <c r="B128" s="15" t="s">
        <v>189</v>
      </c>
      <c r="C128" s="15" t="s">
        <v>191</v>
      </c>
      <c r="D128" s="15" t="s">
        <v>812</v>
      </c>
      <c r="E128" s="15" t="s">
        <v>813</v>
      </c>
      <c r="F128" s="15" t="s">
        <v>797</v>
      </c>
      <c r="G128" s="16" t="s">
        <v>9</v>
      </c>
    </row>
    <row r="129" spans="1:7" ht="26.4" x14ac:dyDescent="0.3">
      <c r="A129" s="15">
        <v>128</v>
      </c>
      <c r="B129" s="15" t="s">
        <v>196</v>
      </c>
      <c r="C129" s="15" t="s">
        <v>197</v>
      </c>
      <c r="D129" s="15" t="s">
        <v>814</v>
      </c>
      <c r="E129" s="15" t="s">
        <v>594</v>
      </c>
      <c r="F129" s="15" t="s">
        <v>815</v>
      </c>
      <c r="G129" s="16" t="s">
        <v>9</v>
      </c>
    </row>
    <row r="130" spans="1:7" ht="26.4" x14ac:dyDescent="0.3">
      <c r="A130" s="15">
        <v>129</v>
      </c>
      <c r="B130" s="15" t="s">
        <v>196</v>
      </c>
      <c r="C130" s="15" t="s">
        <v>197</v>
      </c>
      <c r="D130" s="15" t="s">
        <v>816</v>
      </c>
      <c r="E130" s="15" t="s">
        <v>817</v>
      </c>
      <c r="F130" s="15" t="s">
        <v>815</v>
      </c>
      <c r="G130" s="16" t="s">
        <v>9</v>
      </c>
    </row>
    <row r="131" spans="1:7" ht="26.4" x14ac:dyDescent="0.3">
      <c r="A131" s="15">
        <v>130</v>
      </c>
      <c r="B131" s="15" t="s">
        <v>196</v>
      </c>
      <c r="C131" s="15" t="s">
        <v>197</v>
      </c>
      <c r="D131" s="15" t="s">
        <v>818</v>
      </c>
      <c r="E131" s="15" t="s">
        <v>819</v>
      </c>
      <c r="F131" s="15" t="s">
        <v>815</v>
      </c>
      <c r="G131" s="16" t="s">
        <v>9</v>
      </c>
    </row>
    <row r="132" spans="1:7" ht="26.4" x14ac:dyDescent="0.3">
      <c r="A132" s="15">
        <v>131</v>
      </c>
      <c r="B132" s="15" t="s">
        <v>196</v>
      </c>
      <c r="C132" s="15" t="s">
        <v>197</v>
      </c>
      <c r="D132" s="15" t="s">
        <v>820</v>
      </c>
      <c r="E132" s="15" t="s">
        <v>603</v>
      </c>
      <c r="F132" s="15" t="s">
        <v>815</v>
      </c>
      <c r="G132" s="16" t="s">
        <v>9</v>
      </c>
    </row>
    <row r="133" spans="1:7" ht="26.4" x14ac:dyDescent="0.3">
      <c r="A133" s="15">
        <v>132</v>
      </c>
      <c r="B133" s="15" t="s">
        <v>196</v>
      </c>
      <c r="C133" s="15" t="s">
        <v>197</v>
      </c>
      <c r="D133" s="15" t="s">
        <v>821</v>
      </c>
      <c r="E133" s="15" t="s">
        <v>822</v>
      </c>
      <c r="F133" s="15" t="s">
        <v>815</v>
      </c>
      <c r="G133" s="16" t="s">
        <v>9</v>
      </c>
    </row>
    <row r="134" spans="1:7" x14ac:dyDescent="0.3">
      <c r="A134" s="15">
        <v>133</v>
      </c>
      <c r="B134" s="15" t="s">
        <v>202</v>
      </c>
      <c r="C134" s="15" t="s">
        <v>203</v>
      </c>
      <c r="D134" s="15" t="s">
        <v>823</v>
      </c>
      <c r="E134" s="15" t="s">
        <v>594</v>
      </c>
      <c r="F134" s="15" t="s">
        <v>824</v>
      </c>
      <c r="G134" s="16" t="s">
        <v>9</v>
      </c>
    </row>
    <row r="135" spans="1:7" x14ac:dyDescent="0.3">
      <c r="A135" s="15">
        <v>134</v>
      </c>
      <c r="B135" s="15" t="s">
        <v>202</v>
      </c>
      <c r="C135" s="15" t="s">
        <v>203</v>
      </c>
      <c r="D135" s="15" t="s">
        <v>825</v>
      </c>
      <c r="E135" s="15" t="s">
        <v>826</v>
      </c>
      <c r="F135" s="15" t="s">
        <v>824</v>
      </c>
      <c r="G135" s="16" t="s">
        <v>9</v>
      </c>
    </row>
    <row r="136" spans="1:7" x14ac:dyDescent="0.3">
      <c r="A136" s="15">
        <v>135</v>
      </c>
      <c r="B136" s="15" t="s">
        <v>202</v>
      </c>
      <c r="C136" s="15" t="s">
        <v>203</v>
      </c>
      <c r="D136" s="15" t="s">
        <v>827</v>
      </c>
      <c r="E136" s="15" t="s">
        <v>828</v>
      </c>
      <c r="F136" s="15" t="s">
        <v>824</v>
      </c>
      <c r="G136" s="16" t="s">
        <v>9</v>
      </c>
    </row>
    <row r="137" spans="1:7" x14ac:dyDescent="0.3">
      <c r="A137" s="15">
        <v>136</v>
      </c>
      <c r="B137" s="15" t="s">
        <v>202</v>
      </c>
      <c r="C137" s="15" t="s">
        <v>203</v>
      </c>
      <c r="D137" s="15" t="s">
        <v>829</v>
      </c>
      <c r="E137" s="15" t="s">
        <v>601</v>
      </c>
      <c r="F137" s="15" t="s">
        <v>824</v>
      </c>
      <c r="G137" s="16" t="s">
        <v>9</v>
      </c>
    </row>
    <row r="138" spans="1:7" x14ac:dyDescent="0.3">
      <c r="A138" s="15">
        <v>137</v>
      </c>
      <c r="B138" s="15" t="s">
        <v>202</v>
      </c>
      <c r="C138" s="15" t="s">
        <v>203</v>
      </c>
      <c r="D138" s="15" t="s">
        <v>830</v>
      </c>
      <c r="E138" s="15" t="s">
        <v>607</v>
      </c>
      <c r="F138" s="15" t="s">
        <v>824</v>
      </c>
      <c r="G138" s="16" t="s">
        <v>9</v>
      </c>
    </row>
    <row r="139" spans="1:7" x14ac:dyDescent="0.3">
      <c r="A139" s="15">
        <v>138</v>
      </c>
      <c r="B139" s="15" t="s">
        <v>202</v>
      </c>
      <c r="C139" s="15" t="s">
        <v>203</v>
      </c>
      <c r="D139" s="15" t="s">
        <v>831</v>
      </c>
      <c r="E139" s="15" t="s">
        <v>611</v>
      </c>
      <c r="F139" s="15" t="s">
        <v>824</v>
      </c>
      <c r="G139" s="16" t="s">
        <v>9</v>
      </c>
    </row>
    <row r="140" spans="1:7" x14ac:dyDescent="0.3">
      <c r="A140" s="15">
        <v>139</v>
      </c>
      <c r="B140" s="15" t="s">
        <v>202</v>
      </c>
      <c r="C140" s="15" t="s">
        <v>203</v>
      </c>
      <c r="D140" s="15" t="s">
        <v>832</v>
      </c>
      <c r="E140" s="15" t="s">
        <v>833</v>
      </c>
      <c r="F140" s="15" t="s">
        <v>824</v>
      </c>
      <c r="G140" s="16" t="s">
        <v>9</v>
      </c>
    </row>
    <row r="141" spans="1:7" x14ac:dyDescent="0.3">
      <c r="A141" s="15">
        <v>140</v>
      </c>
      <c r="B141" s="15" t="s">
        <v>202</v>
      </c>
      <c r="C141" s="15" t="s">
        <v>203</v>
      </c>
      <c r="D141" s="15" t="s">
        <v>834</v>
      </c>
      <c r="E141" s="15" t="s">
        <v>835</v>
      </c>
      <c r="F141" s="15" t="s">
        <v>824</v>
      </c>
      <c r="G141" s="16" t="s">
        <v>9</v>
      </c>
    </row>
    <row r="142" spans="1:7" x14ac:dyDescent="0.3">
      <c r="A142" s="15">
        <v>141</v>
      </c>
      <c r="B142" s="15" t="s">
        <v>202</v>
      </c>
      <c r="C142" s="15" t="s">
        <v>203</v>
      </c>
      <c r="D142" s="15" t="s">
        <v>836</v>
      </c>
      <c r="E142" s="15" t="s">
        <v>75</v>
      </c>
      <c r="F142" s="15" t="s">
        <v>824</v>
      </c>
      <c r="G142" s="16" t="s">
        <v>9</v>
      </c>
    </row>
    <row r="143" spans="1:7" ht="26.4" x14ac:dyDescent="0.3">
      <c r="A143" s="15">
        <v>142</v>
      </c>
      <c r="B143" s="15" t="s">
        <v>208</v>
      </c>
      <c r="C143" s="15" t="s">
        <v>209</v>
      </c>
      <c r="D143" s="15" t="s">
        <v>837</v>
      </c>
      <c r="E143" s="15" t="s">
        <v>594</v>
      </c>
      <c r="F143" s="15" t="s">
        <v>838</v>
      </c>
      <c r="G143" s="16" t="s">
        <v>9</v>
      </c>
    </row>
    <row r="144" spans="1:7" ht="26.4" x14ac:dyDescent="0.3">
      <c r="A144" s="15">
        <v>143</v>
      </c>
      <c r="B144" s="15" t="s">
        <v>208</v>
      </c>
      <c r="C144" s="15" t="s">
        <v>209</v>
      </c>
      <c r="D144" s="15" t="s">
        <v>839</v>
      </c>
      <c r="E144" s="15" t="s">
        <v>840</v>
      </c>
      <c r="F144" s="15" t="s">
        <v>838</v>
      </c>
      <c r="G144" s="16" t="s">
        <v>9</v>
      </c>
    </row>
    <row r="145" spans="1:7" ht="26.4" x14ac:dyDescent="0.3">
      <c r="A145" s="15">
        <v>144</v>
      </c>
      <c r="B145" s="15" t="s">
        <v>208</v>
      </c>
      <c r="C145" s="15" t="s">
        <v>209</v>
      </c>
      <c r="D145" s="15" t="s">
        <v>841</v>
      </c>
      <c r="E145" s="15" t="s">
        <v>597</v>
      </c>
      <c r="F145" s="15" t="s">
        <v>838</v>
      </c>
      <c r="G145" s="16" t="s">
        <v>9</v>
      </c>
    </row>
    <row r="146" spans="1:7" ht="26.4" x14ac:dyDescent="0.3">
      <c r="A146" s="15">
        <v>145</v>
      </c>
      <c r="B146" s="15" t="s">
        <v>208</v>
      </c>
      <c r="C146" s="15" t="s">
        <v>209</v>
      </c>
      <c r="D146" s="15" t="s">
        <v>842</v>
      </c>
      <c r="E146" s="15" t="s">
        <v>603</v>
      </c>
      <c r="F146" s="15" t="s">
        <v>838</v>
      </c>
      <c r="G146" s="16" t="s">
        <v>9</v>
      </c>
    </row>
    <row r="147" spans="1:7" ht="26.4" x14ac:dyDescent="0.3">
      <c r="A147" s="15">
        <v>146</v>
      </c>
      <c r="B147" s="15" t="s">
        <v>208</v>
      </c>
      <c r="C147" s="15" t="s">
        <v>209</v>
      </c>
      <c r="D147" s="15" t="s">
        <v>843</v>
      </c>
      <c r="E147" s="15" t="s">
        <v>844</v>
      </c>
      <c r="F147" s="15" t="s">
        <v>838</v>
      </c>
      <c r="G147" s="16" t="s">
        <v>9</v>
      </c>
    </row>
    <row r="148" spans="1:7" x14ac:dyDescent="0.3">
      <c r="A148" s="15">
        <v>147</v>
      </c>
      <c r="B148" s="15" t="s">
        <v>214</v>
      </c>
      <c r="C148" s="15" t="s">
        <v>215</v>
      </c>
      <c r="D148" s="15" t="s">
        <v>845</v>
      </c>
      <c r="E148" s="15" t="s">
        <v>594</v>
      </c>
      <c r="F148" s="15" t="s">
        <v>846</v>
      </c>
      <c r="G148" s="18" t="s">
        <v>13</v>
      </c>
    </row>
    <row r="149" spans="1:7" x14ac:dyDescent="0.3">
      <c r="A149" s="15">
        <v>148</v>
      </c>
      <c r="B149" s="15" t="s">
        <v>214</v>
      </c>
      <c r="C149" s="15" t="s">
        <v>215</v>
      </c>
      <c r="D149" s="15" t="s">
        <v>847</v>
      </c>
      <c r="E149" s="15" t="s">
        <v>654</v>
      </c>
      <c r="F149" s="15" t="s">
        <v>846</v>
      </c>
      <c r="G149" s="18" t="s">
        <v>13</v>
      </c>
    </row>
    <row r="150" spans="1:7" x14ac:dyDescent="0.3">
      <c r="A150" s="15">
        <v>149</v>
      </c>
      <c r="B150" s="15" t="s">
        <v>214</v>
      </c>
      <c r="C150" s="15" t="s">
        <v>215</v>
      </c>
      <c r="D150" s="15" t="s">
        <v>848</v>
      </c>
      <c r="E150" s="15" t="s">
        <v>597</v>
      </c>
      <c r="F150" s="15" t="s">
        <v>846</v>
      </c>
      <c r="G150" s="18" t="s">
        <v>13</v>
      </c>
    </row>
    <row r="151" spans="1:7" x14ac:dyDescent="0.3">
      <c r="A151" s="15">
        <v>150</v>
      </c>
      <c r="B151" s="15" t="s">
        <v>214</v>
      </c>
      <c r="C151" s="15" t="s">
        <v>215</v>
      </c>
      <c r="D151" s="15" t="s">
        <v>849</v>
      </c>
      <c r="E151" s="15" t="s">
        <v>850</v>
      </c>
      <c r="F151" s="15" t="s">
        <v>846</v>
      </c>
      <c r="G151" s="18" t="s">
        <v>13</v>
      </c>
    </row>
    <row r="152" spans="1:7" ht="26.4" x14ac:dyDescent="0.3">
      <c r="A152" s="15">
        <v>151</v>
      </c>
      <c r="B152" s="15" t="s">
        <v>219</v>
      </c>
      <c r="C152" s="15" t="s">
        <v>220</v>
      </c>
      <c r="D152" s="15" t="s">
        <v>851</v>
      </c>
      <c r="E152" s="15" t="s">
        <v>594</v>
      </c>
      <c r="F152" s="15" t="s">
        <v>852</v>
      </c>
      <c r="G152" s="18" t="s">
        <v>13</v>
      </c>
    </row>
    <row r="153" spans="1:7" ht="26.4" x14ac:dyDescent="0.3">
      <c r="A153" s="15">
        <v>152</v>
      </c>
      <c r="B153" s="15" t="s">
        <v>219</v>
      </c>
      <c r="C153" s="15" t="s">
        <v>220</v>
      </c>
      <c r="D153" s="15" t="s">
        <v>853</v>
      </c>
      <c r="E153" s="15" t="s">
        <v>854</v>
      </c>
      <c r="F153" s="15" t="s">
        <v>852</v>
      </c>
      <c r="G153" s="18" t="s">
        <v>13</v>
      </c>
    </row>
    <row r="154" spans="1:7" ht="26.4" x14ac:dyDescent="0.3">
      <c r="A154" s="15">
        <v>153</v>
      </c>
      <c r="B154" s="15" t="s">
        <v>219</v>
      </c>
      <c r="C154" s="15" t="s">
        <v>220</v>
      </c>
      <c r="D154" s="15" t="s">
        <v>855</v>
      </c>
      <c r="E154" s="15" t="s">
        <v>856</v>
      </c>
      <c r="F154" s="15" t="s">
        <v>852</v>
      </c>
      <c r="G154" s="18" t="s">
        <v>13</v>
      </c>
    </row>
    <row r="155" spans="1:7" ht="26.4" x14ac:dyDescent="0.3">
      <c r="A155" s="15">
        <v>154</v>
      </c>
      <c r="B155" s="15" t="s">
        <v>219</v>
      </c>
      <c r="C155" s="15" t="s">
        <v>220</v>
      </c>
      <c r="D155" s="15" t="s">
        <v>857</v>
      </c>
      <c r="E155" s="15" t="s">
        <v>607</v>
      </c>
      <c r="F155" s="15" t="s">
        <v>852</v>
      </c>
      <c r="G155" s="18" t="s">
        <v>13</v>
      </c>
    </row>
    <row r="156" spans="1:7" x14ac:dyDescent="0.3">
      <c r="A156" s="15">
        <v>155</v>
      </c>
      <c r="B156" s="15" t="s">
        <v>224</v>
      </c>
      <c r="C156" s="15" t="s">
        <v>225</v>
      </c>
      <c r="D156" s="15" t="s">
        <v>858</v>
      </c>
      <c r="E156" s="15" t="s">
        <v>594</v>
      </c>
      <c r="F156" s="15" t="s">
        <v>859</v>
      </c>
      <c r="G156" s="18" t="s">
        <v>13</v>
      </c>
    </row>
    <row r="157" spans="1:7" x14ac:dyDescent="0.3">
      <c r="A157" s="15">
        <v>156</v>
      </c>
      <c r="B157" s="15" t="s">
        <v>224</v>
      </c>
      <c r="C157" s="15" t="s">
        <v>225</v>
      </c>
      <c r="D157" s="15" t="s">
        <v>860</v>
      </c>
      <c r="E157" s="15" t="s">
        <v>861</v>
      </c>
      <c r="F157" s="15" t="s">
        <v>859</v>
      </c>
      <c r="G157" s="18" t="s">
        <v>13</v>
      </c>
    </row>
    <row r="158" spans="1:7" ht="26.4" x14ac:dyDescent="0.3">
      <c r="A158" s="15">
        <v>157</v>
      </c>
      <c r="B158" s="15" t="s">
        <v>229</v>
      </c>
      <c r="C158" s="15" t="s">
        <v>230</v>
      </c>
      <c r="D158" s="15" t="s">
        <v>862</v>
      </c>
      <c r="E158" s="15" t="s">
        <v>594</v>
      </c>
      <c r="F158" s="15" t="s">
        <v>863</v>
      </c>
      <c r="G158" s="18" t="s">
        <v>13</v>
      </c>
    </row>
    <row r="159" spans="1:7" ht="26.4" x14ac:dyDescent="0.3">
      <c r="A159" s="15">
        <v>158</v>
      </c>
      <c r="B159" s="15" t="s">
        <v>229</v>
      </c>
      <c r="C159" s="15" t="s">
        <v>230</v>
      </c>
      <c r="D159" s="15" t="s">
        <v>864</v>
      </c>
      <c r="E159" s="15" t="s">
        <v>601</v>
      </c>
      <c r="F159" s="15" t="s">
        <v>863</v>
      </c>
      <c r="G159" s="18" t="s">
        <v>13</v>
      </c>
    </row>
    <row r="160" spans="1:7" ht="26.4" x14ac:dyDescent="0.3">
      <c r="A160" s="15">
        <v>159</v>
      </c>
      <c r="B160" s="15" t="s">
        <v>229</v>
      </c>
      <c r="C160" s="15" t="s">
        <v>230</v>
      </c>
      <c r="D160" s="15" t="s">
        <v>865</v>
      </c>
      <c r="E160" s="15" t="s">
        <v>603</v>
      </c>
      <c r="F160" s="15" t="s">
        <v>863</v>
      </c>
      <c r="G160" s="18" t="s">
        <v>13</v>
      </c>
    </row>
    <row r="161" spans="1:7" ht="26.4" x14ac:dyDescent="0.3">
      <c r="A161" s="15">
        <v>160</v>
      </c>
      <c r="B161" s="15" t="s">
        <v>229</v>
      </c>
      <c r="C161" s="15" t="s">
        <v>230</v>
      </c>
      <c r="D161" s="15" t="s">
        <v>866</v>
      </c>
      <c r="E161" s="15" t="s">
        <v>607</v>
      </c>
      <c r="F161" s="15" t="s">
        <v>863</v>
      </c>
      <c r="G161" s="18" t="s">
        <v>13</v>
      </c>
    </row>
    <row r="162" spans="1:7" ht="26.4" x14ac:dyDescent="0.3">
      <c r="A162" s="15">
        <v>161</v>
      </c>
      <c r="B162" s="15" t="s">
        <v>234</v>
      </c>
      <c r="C162" s="15" t="s">
        <v>235</v>
      </c>
      <c r="D162" s="15" t="s">
        <v>867</v>
      </c>
      <c r="E162" s="15" t="s">
        <v>594</v>
      </c>
      <c r="F162" s="15" t="s">
        <v>770</v>
      </c>
      <c r="G162" s="18" t="s">
        <v>13</v>
      </c>
    </row>
    <row r="163" spans="1:7" ht="26.4" x14ac:dyDescent="0.3">
      <c r="A163" s="15">
        <v>162</v>
      </c>
      <c r="B163" s="15" t="s">
        <v>234</v>
      </c>
      <c r="C163" s="15" t="s">
        <v>235</v>
      </c>
      <c r="D163" s="15" t="s">
        <v>868</v>
      </c>
      <c r="E163" s="15" t="s">
        <v>869</v>
      </c>
      <c r="F163" s="15" t="s">
        <v>770</v>
      </c>
      <c r="G163" s="18" t="s">
        <v>13</v>
      </c>
    </row>
    <row r="164" spans="1:7" x14ac:dyDescent="0.3">
      <c r="A164" s="15">
        <v>163</v>
      </c>
      <c r="B164" s="15" t="s">
        <v>238</v>
      </c>
      <c r="C164" s="15" t="s">
        <v>239</v>
      </c>
      <c r="D164" s="15" t="s">
        <v>870</v>
      </c>
      <c r="E164" s="15" t="s">
        <v>594</v>
      </c>
      <c r="F164" s="15" t="s">
        <v>770</v>
      </c>
      <c r="G164" s="18" t="s">
        <v>13</v>
      </c>
    </row>
    <row r="165" spans="1:7" x14ac:dyDescent="0.3">
      <c r="A165" s="15">
        <v>164</v>
      </c>
      <c r="B165" s="15" t="s">
        <v>238</v>
      </c>
      <c r="C165" s="15" t="s">
        <v>239</v>
      </c>
      <c r="D165" s="15" t="s">
        <v>871</v>
      </c>
      <c r="E165" s="15" t="s">
        <v>872</v>
      </c>
      <c r="F165" s="15" t="s">
        <v>770</v>
      </c>
      <c r="G165" s="18" t="s">
        <v>13</v>
      </c>
    </row>
    <row r="166" spans="1:7" x14ac:dyDescent="0.3">
      <c r="A166" s="15">
        <v>165</v>
      </c>
      <c r="B166" s="15" t="s">
        <v>243</v>
      </c>
      <c r="C166" s="15" t="s">
        <v>244</v>
      </c>
      <c r="D166" s="15" t="s">
        <v>873</v>
      </c>
      <c r="E166" s="15" t="s">
        <v>594</v>
      </c>
      <c r="F166" s="15" t="s">
        <v>770</v>
      </c>
      <c r="G166" s="18" t="s">
        <v>13</v>
      </c>
    </row>
    <row r="167" spans="1:7" x14ac:dyDescent="0.3">
      <c r="A167" s="15">
        <v>166</v>
      </c>
      <c r="B167" s="15" t="s">
        <v>243</v>
      </c>
      <c r="C167" s="15" t="s">
        <v>244</v>
      </c>
      <c r="D167" s="15" t="s">
        <v>874</v>
      </c>
      <c r="E167" s="15" t="s">
        <v>875</v>
      </c>
      <c r="F167" s="15" t="s">
        <v>770</v>
      </c>
      <c r="G167" s="18" t="s">
        <v>13</v>
      </c>
    </row>
    <row r="168" spans="1:7" ht="26.4" x14ac:dyDescent="0.3">
      <c r="A168" s="15">
        <v>167</v>
      </c>
      <c r="B168" s="15" t="s">
        <v>248</v>
      </c>
      <c r="C168" s="15" t="s">
        <v>250</v>
      </c>
      <c r="D168" s="15" t="s">
        <v>876</v>
      </c>
      <c r="E168" s="15" t="s">
        <v>594</v>
      </c>
      <c r="F168" s="15" t="s">
        <v>877</v>
      </c>
      <c r="G168" s="16" t="s">
        <v>9</v>
      </c>
    </row>
    <row r="169" spans="1:7" ht="26.4" x14ac:dyDescent="0.3">
      <c r="A169" s="15">
        <v>168</v>
      </c>
      <c r="B169" s="15" t="s">
        <v>248</v>
      </c>
      <c r="C169" s="15" t="s">
        <v>250</v>
      </c>
      <c r="D169" s="15" t="s">
        <v>878</v>
      </c>
      <c r="E169" s="15" t="s">
        <v>637</v>
      </c>
      <c r="F169" s="15" t="s">
        <v>877</v>
      </c>
      <c r="G169" s="16" t="s">
        <v>9</v>
      </c>
    </row>
    <row r="170" spans="1:7" ht="26.4" x14ac:dyDescent="0.3">
      <c r="A170" s="15">
        <v>169</v>
      </c>
      <c r="B170" s="15" t="s">
        <v>248</v>
      </c>
      <c r="C170" s="15" t="s">
        <v>250</v>
      </c>
      <c r="D170" s="15" t="s">
        <v>879</v>
      </c>
      <c r="E170" s="15" t="s">
        <v>603</v>
      </c>
      <c r="F170" s="15" t="s">
        <v>877</v>
      </c>
      <c r="G170" s="16" t="s">
        <v>9</v>
      </c>
    </row>
    <row r="171" spans="1:7" ht="26.4" x14ac:dyDescent="0.3">
      <c r="A171" s="15">
        <v>170</v>
      </c>
      <c r="B171" s="15" t="s">
        <v>248</v>
      </c>
      <c r="C171" s="15" t="s">
        <v>250</v>
      </c>
      <c r="D171" s="15" t="s">
        <v>880</v>
      </c>
      <c r="E171" s="15" t="s">
        <v>881</v>
      </c>
      <c r="F171" s="15" t="s">
        <v>877</v>
      </c>
      <c r="G171" s="16" t="s">
        <v>9</v>
      </c>
    </row>
    <row r="172" spans="1:7" ht="26.4" x14ac:dyDescent="0.3">
      <c r="A172" s="15">
        <v>171</v>
      </c>
      <c r="B172" s="15" t="s">
        <v>248</v>
      </c>
      <c r="C172" s="15" t="s">
        <v>250</v>
      </c>
      <c r="D172" s="15" t="s">
        <v>882</v>
      </c>
      <c r="E172" s="15" t="s">
        <v>607</v>
      </c>
      <c r="F172" s="15" t="s">
        <v>877</v>
      </c>
      <c r="G172" s="16" t="s">
        <v>9</v>
      </c>
    </row>
    <row r="173" spans="1:7" x14ac:dyDescent="0.3">
      <c r="A173" s="15">
        <v>172</v>
      </c>
      <c r="B173" s="15" t="s">
        <v>255</v>
      </c>
      <c r="C173" s="15" t="s">
        <v>256</v>
      </c>
      <c r="D173" s="15" t="s">
        <v>883</v>
      </c>
      <c r="E173" s="15" t="s">
        <v>594</v>
      </c>
      <c r="F173" s="15" t="s">
        <v>884</v>
      </c>
      <c r="G173" s="16" t="s">
        <v>9</v>
      </c>
    </row>
    <row r="174" spans="1:7" x14ac:dyDescent="0.3">
      <c r="A174" s="15">
        <v>173</v>
      </c>
      <c r="B174" s="15" t="s">
        <v>255</v>
      </c>
      <c r="C174" s="15" t="s">
        <v>256</v>
      </c>
      <c r="D174" s="15" t="s">
        <v>885</v>
      </c>
      <c r="E174" s="15" t="s">
        <v>597</v>
      </c>
      <c r="F174" s="15" t="s">
        <v>884</v>
      </c>
      <c r="G174" s="16" t="s">
        <v>9</v>
      </c>
    </row>
    <row r="175" spans="1:7" x14ac:dyDescent="0.3">
      <c r="A175" s="15">
        <v>174</v>
      </c>
      <c r="B175" s="15" t="s">
        <v>255</v>
      </c>
      <c r="C175" s="15" t="s">
        <v>256</v>
      </c>
      <c r="D175" s="15" t="s">
        <v>886</v>
      </c>
      <c r="E175" s="15" t="s">
        <v>601</v>
      </c>
      <c r="F175" s="15" t="s">
        <v>884</v>
      </c>
      <c r="G175" s="16" t="s">
        <v>9</v>
      </c>
    </row>
    <row r="176" spans="1:7" x14ac:dyDescent="0.3">
      <c r="A176" s="15">
        <v>175</v>
      </c>
      <c r="B176" s="15" t="s">
        <v>255</v>
      </c>
      <c r="C176" s="15" t="s">
        <v>256</v>
      </c>
      <c r="D176" s="15" t="s">
        <v>887</v>
      </c>
      <c r="E176" s="15" t="s">
        <v>603</v>
      </c>
      <c r="F176" s="15" t="s">
        <v>884</v>
      </c>
      <c r="G176" s="16" t="s">
        <v>9</v>
      </c>
    </row>
    <row r="177" spans="1:7" x14ac:dyDescent="0.3">
      <c r="A177" s="15">
        <v>176</v>
      </c>
      <c r="B177" s="15" t="s">
        <v>255</v>
      </c>
      <c r="C177" s="15" t="s">
        <v>256</v>
      </c>
      <c r="D177" s="15" t="s">
        <v>888</v>
      </c>
      <c r="E177" s="15" t="s">
        <v>607</v>
      </c>
      <c r="F177" s="15" t="s">
        <v>884</v>
      </c>
      <c r="G177" s="16" t="s">
        <v>9</v>
      </c>
    </row>
    <row r="178" spans="1:7" x14ac:dyDescent="0.3">
      <c r="A178" s="15">
        <v>177</v>
      </c>
      <c r="B178" s="15" t="s">
        <v>255</v>
      </c>
      <c r="C178" s="15" t="s">
        <v>256</v>
      </c>
      <c r="D178" s="15" t="s">
        <v>889</v>
      </c>
      <c r="E178" s="15" t="s">
        <v>890</v>
      </c>
      <c r="F178" s="15" t="s">
        <v>884</v>
      </c>
      <c r="G178" s="16" t="s">
        <v>9</v>
      </c>
    </row>
    <row r="179" spans="1:7" x14ac:dyDescent="0.3">
      <c r="A179" s="15">
        <v>178</v>
      </c>
      <c r="B179" s="15" t="s">
        <v>255</v>
      </c>
      <c r="C179" s="15" t="s">
        <v>256</v>
      </c>
      <c r="D179" s="15" t="s">
        <v>891</v>
      </c>
      <c r="E179" s="15" t="s">
        <v>892</v>
      </c>
      <c r="F179" s="15" t="s">
        <v>884</v>
      </c>
      <c r="G179" s="16" t="s">
        <v>9</v>
      </c>
    </row>
    <row r="180" spans="1:7" x14ac:dyDescent="0.3">
      <c r="A180" s="15">
        <v>179</v>
      </c>
      <c r="B180" s="15" t="s">
        <v>255</v>
      </c>
      <c r="C180" s="15" t="s">
        <v>256</v>
      </c>
      <c r="D180" s="15" t="s">
        <v>893</v>
      </c>
      <c r="E180" s="15" t="s">
        <v>613</v>
      </c>
      <c r="F180" s="15" t="s">
        <v>884</v>
      </c>
      <c r="G180" s="16" t="s">
        <v>9</v>
      </c>
    </row>
    <row r="181" spans="1:7" x14ac:dyDescent="0.3">
      <c r="A181" s="15">
        <v>180</v>
      </c>
      <c r="B181" s="15" t="s">
        <v>255</v>
      </c>
      <c r="C181" s="15" t="s">
        <v>256</v>
      </c>
      <c r="D181" s="15" t="s">
        <v>894</v>
      </c>
      <c r="E181" s="15" t="s">
        <v>75</v>
      </c>
      <c r="F181" s="15" t="s">
        <v>884</v>
      </c>
      <c r="G181" s="16" t="s">
        <v>9</v>
      </c>
    </row>
    <row r="182" spans="1:7" x14ac:dyDescent="0.3">
      <c r="A182" s="15">
        <v>181</v>
      </c>
      <c r="B182" s="15" t="s">
        <v>255</v>
      </c>
      <c r="C182" s="15" t="s">
        <v>256</v>
      </c>
      <c r="D182" s="15" t="s">
        <v>895</v>
      </c>
      <c r="E182" s="15" t="s">
        <v>609</v>
      </c>
      <c r="F182" s="15" t="s">
        <v>884</v>
      </c>
      <c r="G182" s="16" t="s">
        <v>9</v>
      </c>
    </row>
    <row r="183" spans="1:7" ht="26.4" x14ac:dyDescent="0.3">
      <c r="A183" s="15">
        <v>182</v>
      </c>
      <c r="B183" s="15" t="s">
        <v>261</v>
      </c>
      <c r="C183" s="15" t="s">
        <v>262</v>
      </c>
      <c r="D183" s="15" t="s">
        <v>896</v>
      </c>
      <c r="E183" s="15" t="s">
        <v>594</v>
      </c>
      <c r="F183" s="15" t="s">
        <v>897</v>
      </c>
      <c r="G183" s="17" t="s">
        <v>11</v>
      </c>
    </row>
    <row r="184" spans="1:7" ht="26.4" x14ac:dyDescent="0.3">
      <c r="A184" s="15">
        <v>183</v>
      </c>
      <c r="B184" s="15" t="s">
        <v>261</v>
      </c>
      <c r="C184" s="15" t="s">
        <v>262</v>
      </c>
      <c r="D184" s="15" t="s">
        <v>898</v>
      </c>
      <c r="E184" s="15" t="s">
        <v>637</v>
      </c>
      <c r="F184" s="15" t="s">
        <v>897</v>
      </c>
      <c r="G184" s="17" t="s">
        <v>11</v>
      </c>
    </row>
    <row r="185" spans="1:7" ht="26.4" x14ac:dyDescent="0.3">
      <c r="A185" s="15">
        <v>184</v>
      </c>
      <c r="B185" s="15" t="s">
        <v>261</v>
      </c>
      <c r="C185" s="15" t="s">
        <v>262</v>
      </c>
      <c r="D185" s="15" t="s">
        <v>899</v>
      </c>
      <c r="E185" s="15" t="s">
        <v>603</v>
      </c>
      <c r="F185" s="15" t="s">
        <v>897</v>
      </c>
      <c r="G185" s="17" t="s">
        <v>11</v>
      </c>
    </row>
    <row r="186" spans="1:7" ht="26.4" x14ac:dyDescent="0.3">
      <c r="A186" s="15">
        <v>185</v>
      </c>
      <c r="B186" s="15" t="s">
        <v>261</v>
      </c>
      <c r="C186" s="15" t="s">
        <v>262</v>
      </c>
      <c r="D186" s="15" t="s">
        <v>900</v>
      </c>
      <c r="E186" s="15" t="s">
        <v>901</v>
      </c>
      <c r="F186" s="15" t="s">
        <v>897</v>
      </c>
      <c r="G186" s="17" t="s">
        <v>11</v>
      </c>
    </row>
    <row r="187" spans="1:7" x14ac:dyDescent="0.3">
      <c r="A187" s="15">
        <v>186</v>
      </c>
      <c r="B187" s="15" t="s">
        <v>267</v>
      </c>
      <c r="C187" s="15" t="s">
        <v>268</v>
      </c>
      <c r="D187" s="15" t="s">
        <v>902</v>
      </c>
      <c r="E187" s="15" t="s">
        <v>594</v>
      </c>
      <c r="F187" s="15" t="s">
        <v>903</v>
      </c>
      <c r="G187" s="16" t="s">
        <v>9</v>
      </c>
    </row>
    <row r="188" spans="1:7" x14ac:dyDescent="0.3">
      <c r="A188" s="15">
        <v>187</v>
      </c>
      <c r="B188" s="15" t="s">
        <v>267</v>
      </c>
      <c r="C188" s="15" t="s">
        <v>268</v>
      </c>
      <c r="D188" s="15" t="s">
        <v>904</v>
      </c>
      <c r="E188" s="15" t="s">
        <v>701</v>
      </c>
      <c r="F188" s="15" t="s">
        <v>903</v>
      </c>
      <c r="G188" s="16" t="s">
        <v>9</v>
      </c>
    </row>
    <row r="189" spans="1:7" x14ac:dyDescent="0.3">
      <c r="A189" s="15">
        <v>188</v>
      </c>
      <c r="B189" s="15" t="s">
        <v>267</v>
      </c>
      <c r="C189" s="15" t="s">
        <v>268</v>
      </c>
      <c r="D189" s="15" t="s">
        <v>905</v>
      </c>
      <c r="E189" s="15" t="s">
        <v>597</v>
      </c>
      <c r="F189" s="15" t="s">
        <v>903</v>
      </c>
      <c r="G189" s="16" t="s">
        <v>9</v>
      </c>
    </row>
    <row r="190" spans="1:7" x14ac:dyDescent="0.3">
      <c r="A190" s="15">
        <v>189</v>
      </c>
      <c r="B190" s="15" t="s">
        <v>267</v>
      </c>
      <c r="C190" s="15" t="s">
        <v>268</v>
      </c>
      <c r="D190" s="15" t="s">
        <v>906</v>
      </c>
      <c r="E190" s="15" t="s">
        <v>603</v>
      </c>
      <c r="F190" s="15" t="s">
        <v>903</v>
      </c>
      <c r="G190" s="16" t="s">
        <v>9</v>
      </c>
    </row>
    <row r="191" spans="1:7" x14ac:dyDescent="0.3">
      <c r="A191" s="15">
        <v>190</v>
      </c>
      <c r="B191" s="15" t="s">
        <v>267</v>
      </c>
      <c r="C191" s="15" t="s">
        <v>268</v>
      </c>
      <c r="D191" s="15" t="s">
        <v>907</v>
      </c>
      <c r="E191" s="15" t="s">
        <v>607</v>
      </c>
      <c r="F191" s="15" t="s">
        <v>903</v>
      </c>
      <c r="G191" s="16" t="s">
        <v>9</v>
      </c>
    </row>
    <row r="192" spans="1:7" x14ac:dyDescent="0.3">
      <c r="A192" s="15">
        <v>191</v>
      </c>
      <c r="B192" s="15" t="s">
        <v>267</v>
      </c>
      <c r="C192" s="15" t="s">
        <v>268</v>
      </c>
      <c r="D192" s="15" t="s">
        <v>908</v>
      </c>
      <c r="E192" s="15" t="s">
        <v>909</v>
      </c>
      <c r="F192" s="15" t="s">
        <v>903</v>
      </c>
      <c r="G192" s="16" t="s">
        <v>9</v>
      </c>
    </row>
    <row r="193" spans="1:7" ht="26.4" x14ac:dyDescent="0.3">
      <c r="A193" s="15">
        <v>192</v>
      </c>
      <c r="B193" s="15" t="s">
        <v>273</v>
      </c>
      <c r="C193" s="15" t="s">
        <v>274</v>
      </c>
      <c r="D193" s="15" t="s">
        <v>910</v>
      </c>
      <c r="E193" s="15" t="s">
        <v>594</v>
      </c>
      <c r="F193" s="15" t="s">
        <v>911</v>
      </c>
      <c r="G193" s="16" t="s">
        <v>9</v>
      </c>
    </row>
    <row r="194" spans="1:7" ht="26.4" x14ac:dyDescent="0.3">
      <c r="A194" s="15">
        <v>193</v>
      </c>
      <c r="B194" s="15" t="s">
        <v>273</v>
      </c>
      <c r="C194" s="15" t="s">
        <v>274</v>
      </c>
      <c r="D194" s="15" t="s">
        <v>912</v>
      </c>
      <c r="E194" s="15" t="s">
        <v>913</v>
      </c>
      <c r="F194" s="15" t="s">
        <v>911</v>
      </c>
      <c r="G194" s="16" t="s">
        <v>9</v>
      </c>
    </row>
    <row r="195" spans="1:7" ht="26.4" x14ac:dyDescent="0.3">
      <c r="A195" s="15">
        <v>194</v>
      </c>
      <c r="B195" s="15" t="s">
        <v>273</v>
      </c>
      <c r="C195" s="15" t="s">
        <v>274</v>
      </c>
      <c r="D195" s="15" t="s">
        <v>914</v>
      </c>
      <c r="E195" s="15" t="s">
        <v>915</v>
      </c>
      <c r="F195" s="15" t="s">
        <v>911</v>
      </c>
      <c r="G195" s="16" t="s">
        <v>9</v>
      </c>
    </row>
    <row r="196" spans="1:7" ht="26.4" x14ac:dyDescent="0.3">
      <c r="A196" s="15">
        <v>195</v>
      </c>
      <c r="B196" s="15" t="s">
        <v>273</v>
      </c>
      <c r="C196" s="15" t="s">
        <v>274</v>
      </c>
      <c r="D196" s="15" t="s">
        <v>916</v>
      </c>
      <c r="E196" s="15" t="s">
        <v>917</v>
      </c>
      <c r="F196" s="15" t="s">
        <v>911</v>
      </c>
      <c r="G196" s="16" t="s">
        <v>9</v>
      </c>
    </row>
    <row r="197" spans="1:7" ht="26.4" x14ac:dyDescent="0.3">
      <c r="A197" s="15">
        <v>196</v>
      </c>
      <c r="B197" s="15" t="s">
        <v>273</v>
      </c>
      <c r="C197" s="15" t="s">
        <v>274</v>
      </c>
      <c r="D197" s="15" t="s">
        <v>918</v>
      </c>
      <c r="E197" s="15" t="s">
        <v>603</v>
      </c>
      <c r="F197" s="15" t="s">
        <v>911</v>
      </c>
      <c r="G197" s="16" t="s">
        <v>9</v>
      </c>
    </row>
    <row r="198" spans="1:7" ht="26.4" x14ac:dyDescent="0.3">
      <c r="A198" s="15">
        <v>197</v>
      </c>
      <c r="B198" s="15" t="s">
        <v>273</v>
      </c>
      <c r="C198" s="15" t="s">
        <v>274</v>
      </c>
      <c r="D198" s="15" t="s">
        <v>919</v>
      </c>
      <c r="E198" s="15" t="s">
        <v>607</v>
      </c>
      <c r="F198" s="15" t="s">
        <v>911</v>
      </c>
      <c r="G198" s="16" t="s">
        <v>9</v>
      </c>
    </row>
    <row r="199" spans="1:7" ht="26.4" x14ac:dyDescent="0.3">
      <c r="A199" s="15">
        <v>198</v>
      </c>
      <c r="B199" s="15" t="s">
        <v>273</v>
      </c>
      <c r="C199" s="15" t="s">
        <v>274</v>
      </c>
      <c r="D199" s="15" t="s">
        <v>920</v>
      </c>
      <c r="E199" s="15" t="s">
        <v>921</v>
      </c>
      <c r="F199" s="15" t="s">
        <v>911</v>
      </c>
      <c r="G199" s="16" t="s">
        <v>9</v>
      </c>
    </row>
    <row r="200" spans="1:7" x14ac:dyDescent="0.3">
      <c r="A200" s="15">
        <v>199</v>
      </c>
      <c r="B200" s="15" t="s">
        <v>279</v>
      </c>
      <c r="C200" s="15" t="s">
        <v>280</v>
      </c>
      <c r="D200" s="15" t="s">
        <v>922</v>
      </c>
      <c r="E200" s="15" t="s">
        <v>594</v>
      </c>
      <c r="F200" s="15" t="s">
        <v>923</v>
      </c>
      <c r="G200" s="18" t="s">
        <v>13</v>
      </c>
    </row>
    <row r="201" spans="1:7" x14ac:dyDescent="0.3">
      <c r="A201" s="15">
        <v>200</v>
      </c>
      <c r="B201" s="15" t="s">
        <v>279</v>
      </c>
      <c r="C201" s="15" t="s">
        <v>280</v>
      </c>
      <c r="D201" s="15" t="s">
        <v>924</v>
      </c>
      <c r="E201" s="15" t="s">
        <v>925</v>
      </c>
      <c r="F201" s="15" t="s">
        <v>923</v>
      </c>
      <c r="G201" s="18" t="s">
        <v>13</v>
      </c>
    </row>
    <row r="202" spans="1:7" x14ac:dyDescent="0.3">
      <c r="A202" s="15">
        <v>201</v>
      </c>
      <c r="B202" s="15" t="s">
        <v>279</v>
      </c>
      <c r="C202" s="15" t="s">
        <v>280</v>
      </c>
      <c r="D202" s="15" t="s">
        <v>926</v>
      </c>
      <c r="E202" s="15" t="s">
        <v>607</v>
      </c>
      <c r="F202" s="15" t="s">
        <v>923</v>
      </c>
      <c r="G202" s="18" t="s">
        <v>13</v>
      </c>
    </row>
    <row r="203" spans="1:7" x14ac:dyDescent="0.3">
      <c r="A203" s="15">
        <v>202</v>
      </c>
      <c r="B203" s="15" t="s">
        <v>284</v>
      </c>
      <c r="C203" s="15" t="s">
        <v>285</v>
      </c>
      <c r="D203" s="15" t="s">
        <v>927</v>
      </c>
      <c r="E203" s="15" t="s">
        <v>594</v>
      </c>
      <c r="F203" s="15" t="s">
        <v>770</v>
      </c>
      <c r="G203" s="18" t="s">
        <v>13</v>
      </c>
    </row>
    <row r="204" spans="1:7" x14ac:dyDescent="0.3">
      <c r="A204" s="15">
        <v>203</v>
      </c>
      <c r="B204" s="15" t="s">
        <v>284</v>
      </c>
      <c r="C204" s="15" t="s">
        <v>285</v>
      </c>
      <c r="D204" s="15" t="s">
        <v>928</v>
      </c>
      <c r="E204" s="15" t="s">
        <v>929</v>
      </c>
      <c r="F204" s="15" t="s">
        <v>770</v>
      </c>
      <c r="G204" s="18" t="s">
        <v>13</v>
      </c>
    </row>
    <row r="205" spans="1:7" ht="26.4" x14ac:dyDescent="0.3">
      <c r="A205" s="15">
        <v>204</v>
      </c>
      <c r="B205" s="15" t="s">
        <v>289</v>
      </c>
      <c r="C205" s="15" t="s">
        <v>290</v>
      </c>
      <c r="D205" s="15" t="s">
        <v>930</v>
      </c>
      <c r="E205" s="15" t="s">
        <v>594</v>
      </c>
      <c r="F205" s="15" t="s">
        <v>770</v>
      </c>
      <c r="G205" s="18" t="s">
        <v>13</v>
      </c>
    </row>
    <row r="206" spans="1:7" ht="26.4" x14ac:dyDescent="0.3">
      <c r="A206" s="15">
        <v>205</v>
      </c>
      <c r="B206" s="15" t="s">
        <v>289</v>
      </c>
      <c r="C206" s="15" t="s">
        <v>290</v>
      </c>
      <c r="D206" s="15" t="s">
        <v>931</v>
      </c>
      <c r="E206" s="15" t="s">
        <v>597</v>
      </c>
      <c r="F206" s="15" t="s">
        <v>770</v>
      </c>
      <c r="G206" s="18" t="s">
        <v>13</v>
      </c>
    </row>
    <row r="207" spans="1:7" x14ac:dyDescent="0.3">
      <c r="A207" s="15">
        <v>206</v>
      </c>
      <c r="B207" s="15" t="s">
        <v>293</v>
      </c>
      <c r="C207" s="15" t="s">
        <v>294</v>
      </c>
      <c r="D207" s="15" t="s">
        <v>932</v>
      </c>
      <c r="E207" s="15" t="s">
        <v>594</v>
      </c>
      <c r="F207" s="15" t="s">
        <v>933</v>
      </c>
      <c r="G207" s="19" t="s">
        <v>15</v>
      </c>
    </row>
    <row r="208" spans="1:7" x14ac:dyDescent="0.3">
      <c r="A208" s="15">
        <v>207</v>
      </c>
      <c r="B208" s="15" t="s">
        <v>293</v>
      </c>
      <c r="C208" s="15" t="s">
        <v>294</v>
      </c>
      <c r="D208" s="15" t="s">
        <v>934</v>
      </c>
      <c r="E208" s="15" t="s">
        <v>935</v>
      </c>
      <c r="F208" s="15" t="s">
        <v>933</v>
      </c>
      <c r="G208" s="19" t="s">
        <v>15</v>
      </c>
    </row>
    <row r="209" spans="1:7" x14ac:dyDescent="0.3">
      <c r="A209" s="15">
        <v>208</v>
      </c>
      <c r="B209" s="15" t="s">
        <v>293</v>
      </c>
      <c r="C209" s="15" t="s">
        <v>294</v>
      </c>
      <c r="D209" s="15" t="s">
        <v>936</v>
      </c>
      <c r="E209" s="15" t="s">
        <v>937</v>
      </c>
      <c r="F209" s="15" t="s">
        <v>933</v>
      </c>
      <c r="G209" s="19" t="s">
        <v>15</v>
      </c>
    </row>
    <row r="210" spans="1:7" ht="26.4" x14ac:dyDescent="0.3">
      <c r="A210" s="15">
        <v>209</v>
      </c>
      <c r="B210" s="15" t="s">
        <v>298</v>
      </c>
      <c r="C210" s="15" t="s">
        <v>300</v>
      </c>
      <c r="D210" s="15" t="s">
        <v>938</v>
      </c>
      <c r="E210" s="15" t="s">
        <v>594</v>
      </c>
      <c r="F210" s="15" t="s">
        <v>939</v>
      </c>
      <c r="G210" s="16" t="s">
        <v>9</v>
      </c>
    </row>
    <row r="211" spans="1:7" ht="26.4" x14ac:dyDescent="0.3">
      <c r="A211" s="15">
        <v>210</v>
      </c>
      <c r="B211" s="15" t="s">
        <v>298</v>
      </c>
      <c r="C211" s="15" t="s">
        <v>300</v>
      </c>
      <c r="D211" s="15" t="s">
        <v>940</v>
      </c>
      <c r="E211" s="15" t="s">
        <v>739</v>
      </c>
      <c r="F211" s="15" t="s">
        <v>939</v>
      </c>
      <c r="G211" s="16" t="s">
        <v>9</v>
      </c>
    </row>
    <row r="212" spans="1:7" ht="26.4" x14ac:dyDescent="0.3">
      <c r="A212" s="15">
        <v>211</v>
      </c>
      <c r="B212" s="15" t="s">
        <v>298</v>
      </c>
      <c r="C212" s="15" t="s">
        <v>300</v>
      </c>
      <c r="D212" s="15" t="s">
        <v>941</v>
      </c>
      <c r="E212" s="15" t="s">
        <v>741</v>
      </c>
      <c r="F212" s="15" t="s">
        <v>939</v>
      </c>
      <c r="G212" s="16" t="s">
        <v>9</v>
      </c>
    </row>
    <row r="213" spans="1:7" ht="26.4" x14ac:dyDescent="0.3">
      <c r="A213" s="15">
        <v>212</v>
      </c>
      <c r="B213" s="15" t="s">
        <v>298</v>
      </c>
      <c r="C213" s="15" t="s">
        <v>300</v>
      </c>
      <c r="D213" s="15" t="s">
        <v>942</v>
      </c>
      <c r="E213" s="15" t="s">
        <v>603</v>
      </c>
      <c r="F213" s="15" t="s">
        <v>939</v>
      </c>
      <c r="G213" s="16" t="s">
        <v>9</v>
      </c>
    </row>
    <row r="214" spans="1:7" ht="26.4" x14ac:dyDescent="0.3">
      <c r="A214" s="15">
        <v>213</v>
      </c>
      <c r="B214" s="15" t="s">
        <v>298</v>
      </c>
      <c r="C214" s="15" t="s">
        <v>300</v>
      </c>
      <c r="D214" s="15" t="s">
        <v>943</v>
      </c>
      <c r="E214" s="15" t="s">
        <v>607</v>
      </c>
      <c r="F214" s="15" t="s">
        <v>939</v>
      </c>
      <c r="G214" s="16" t="s">
        <v>9</v>
      </c>
    </row>
    <row r="215" spans="1:7" x14ac:dyDescent="0.3">
      <c r="A215" s="15">
        <v>214</v>
      </c>
      <c r="B215" s="15" t="s">
        <v>305</v>
      </c>
      <c r="C215" s="15" t="s">
        <v>306</v>
      </c>
      <c r="D215" s="15" t="s">
        <v>944</v>
      </c>
      <c r="E215" s="15" t="s">
        <v>594</v>
      </c>
      <c r="F215" s="15" t="s">
        <v>945</v>
      </c>
      <c r="G215" s="16" t="s">
        <v>9</v>
      </c>
    </row>
    <row r="216" spans="1:7" x14ac:dyDescent="0.3">
      <c r="A216" s="15">
        <v>215</v>
      </c>
      <c r="B216" s="15" t="s">
        <v>305</v>
      </c>
      <c r="C216" s="15" t="s">
        <v>306</v>
      </c>
      <c r="D216" s="15" t="s">
        <v>946</v>
      </c>
      <c r="E216" s="15" t="s">
        <v>947</v>
      </c>
      <c r="F216" s="15" t="s">
        <v>945</v>
      </c>
      <c r="G216" s="16" t="s">
        <v>9</v>
      </c>
    </row>
    <row r="217" spans="1:7" x14ac:dyDescent="0.3">
      <c r="A217" s="15">
        <v>216</v>
      </c>
      <c r="B217" s="15" t="s">
        <v>305</v>
      </c>
      <c r="C217" s="15" t="s">
        <v>306</v>
      </c>
      <c r="D217" s="15" t="s">
        <v>948</v>
      </c>
      <c r="E217" s="15" t="s">
        <v>739</v>
      </c>
      <c r="F217" s="15" t="s">
        <v>945</v>
      </c>
      <c r="G217" s="16" t="s">
        <v>9</v>
      </c>
    </row>
    <row r="218" spans="1:7" ht="26.4" x14ac:dyDescent="0.3">
      <c r="A218" s="15">
        <v>217</v>
      </c>
      <c r="B218" s="15" t="s">
        <v>305</v>
      </c>
      <c r="C218" s="15" t="s">
        <v>306</v>
      </c>
      <c r="D218" s="15" t="s">
        <v>949</v>
      </c>
      <c r="E218" s="15" t="s">
        <v>937</v>
      </c>
      <c r="F218" s="15" t="s">
        <v>945</v>
      </c>
      <c r="G218" s="16" t="s">
        <v>9</v>
      </c>
    </row>
    <row r="219" spans="1:7" x14ac:dyDescent="0.3">
      <c r="A219" s="15">
        <v>218</v>
      </c>
      <c r="B219" s="15" t="s">
        <v>311</v>
      </c>
      <c r="C219" s="15" t="s">
        <v>312</v>
      </c>
      <c r="D219" s="15" t="s">
        <v>950</v>
      </c>
      <c r="E219" s="15" t="s">
        <v>594</v>
      </c>
      <c r="F219" s="15" t="s">
        <v>951</v>
      </c>
      <c r="G219" s="18" t="s">
        <v>13</v>
      </c>
    </row>
    <row r="220" spans="1:7" x14ac:dyDescent="0.3">
      <c r="A220" s="15">
        <v>219</v>
      </c>
      <c r="B220" s="15" t="s">
        <v>311</v>
      </c>
      <c r="C220" s="15" t="s">
        <v>312</v>
      </c>
      <c r="D220" s="15" t="s">
        <v>952</v>
      </c>
      <c r="E220" s="15" t="s">
        <v>953</v>
      </c>
      <c r="F220" s="15" t="s">
        <v>951</v>
      </c>
      <c r="G220" s="18" t="s">
        <v>13</v>
      </c>
    </row>
    <row r="221" spans="1:7" x14ac:dyDescent="0.3">
      <c r="A221" s="15">
        <v>220</v>
      </c>
      <c r="B221" s="15" t="s">
        <v>311</v>
      </c>
      <c r="C221" s="15" t="s">
        <v>312</v>
      </c>
      <c r="D221" s="15" t="s">
        <v>954</v>
      </c>
      <c r="E221" s="15" t="s">
        <v>955</v>
      </c>
      <c r="F221" s="15" t="s">
        <v>951</v>
      </c>
      <c r="G221" s="18" t="s">
        <v>13</v>
      </c>
    </row>
    <row r="222" spans="1:7" x14ac:dyDescent="0.3">
      <c r="A222" s="15">
        <v>221</v>
      </c>
      <c r="B222" s="15" t="s">
        <v>311</v>
      </c>
      <c r="C222" s="15" t="s">
        <v>312</v>
      </c>
      <c r="D222" s="15" t="s">
        <v>956</v>
      </c>
      <c r="E222" s="15" t="s">
        <v>607</v>
      </c>
      <c r="F222" s="15" t="s">
        <v>951</v>
      </c>
      <c r="G222" s="18" t="s">
        <v>13</v>
      </c>
    </row>
    <row r="223" spans="1:7" x14ac:dyDescent="0.3">
      <c r="A223" s="15">
        <v>222</v>
      </c>
      <c r="B223" s="15" t="s">
        <v>311</v>
      </c>
      <c r="C223" s="15" t="s">
        <v>312</v>
      </c>
      <c r="D223" s="15" t="s">
        <v>957</v>
      </c>
      <c r="E223" s="15" t="s">
        <v>605</v>
      </c>
      <c r="F223" s="15" t="s">
        <v>951</v>
      </c>
      <c r="G223" s="18" t="s">
        <v>13</v>
      </c>
    </row>
    <row r="224" spans="1:7" x14ac:dyDescent="0.3">
      <c r="A224" s="15">
        <v>223</v>
      </c>
      <c r="B224" s="15" t="s">
        <v>316</v>
      </c>
      <c r="C224" s="15" t="s">
        <v>317</v>
      </c>
      <c r="D224" s="15" t="s">
        <v>958</v>
      </c>
      <c r="E224" s="15" t="s">
        <v>594</v>
      </c>
      <c r="F224" s="15" t="s">
        <v>770</v>
      </c>
      <c r="G224" s="18" t="s">
        <v>13</v>
      </c>
    </row>
    <row r="225" spans="1:7" x14ac:dyDescent="0.3">
      <c r="A225" s="15">
        <v>224</v>
      </c>
      <c r="B225" s="15" t="s">
        <v>321</v>
      </c>
      <c r="C225" s="15" t="s">
        <v>322</v>
      </c>
      <c r="D225" s="15" t="s">
        <v>959</v>
      </c>
      <c r="E225" s="15" t="s">
        <v>594</v>
      </c>
      <c r="F225" s="15" t="s">
        <v>770</v>
      </c>
      <c r="G225" s="18" t="s">
        <v>13</v>
      </c>
    </row>
    <row r="226" spans="1:7" ht="26.4" x14ac:dyDescent="0.3">
      <c r="A226" s="15">
        <v>225</v>
      </c>
      <c r="B226" s="15" t="s">
        <v>326</v>
      </c>
      <c r="C226" s="15" t="s">
        <v>328</v>
      </c>
      <c r="D226" s="15" t="s">
        <v>960</v>
      </c>
      <c r="E226" s="15" t="s">
        <v>594</v>
      </c>
      <c r="F226" s="15" t="s">
        <v>961</v>
      </c>
      <c r="G226" s="16" t="s">
        <v>9</v>
      </c>
    </row>
    <row r="227" spans="1:7" ht="26.4" x14ac:dyDescent="0.3">
      <c r="A227" s="15">
        <v>226</v>
      </c>
      <c r="B227" s="15" t="s">
        <v>326</v>
      </c>
      <c r="C227" s="15" t="s">
        <v>328</v>
      </c>
      <c r="D227" s="15" t="s">
        <v>962</v>
      </c>
      <c r="E227" s="15" t="s">
        <v>963</v>
      </c>
      <c r="F227" s="15" t="s">
        <v>961</v>
      </c>
      <c r="G227" s="16" t="s">
        <v>9</v>
      </c>
    </row>
    <row r="228" spans="1:7" ht="26.4" x14ac:dyDescent="0.3">
      <c r="A228" s="15">
        <v>227</v>
      </c>
      <c r="B228" s="15" t="s">
        <v>326</v>
      </c>
      <c r="C228" s="15" t="s">
        <v>328</v>
      </c>
      <c r="D228" s="15" t="s">
        <v>964</v>
      </c>
      <c r="E228" s="15" t="s">
        <v>965</v>
      </c>
      <c r="F228" s="15" t="s">
        <v>961</v>
      </c>
      <c r="G228" s="16" t="s">
        <v>9</v>
      </c>
    </row>
    <row r="229" spans="1:7" ht="26.4" x14ac:dyDescent="0.3">
      <c r="A229" s="15">
        <v>228</v>
      </c>
      <c r="B229" s="15" t="s">
        <v>326</v>
      </c>
      <c r="C229" s="15" t="s">
        <v>328</v>
      </c>
      <c r="D229" s="15" t="s">
        <v>966</v>
      </c>
      <c r="E229" s="15" t="s">
        <v>601</v>
      </c>
      <c r="F229" s="15" t="s">
        <v>961</v>
      </c>
      <c r="G229" s="16" t="s">
        <v>9</v>
      </c>
    </row>
    <row r="230" spans="1:7" ht="26.4" x14ac:dyDescent="0.3">
      <c r="A230" s="15">
        <v>229</v>
      </c>
      <c r="B230" s="15" t="s">
        <v>326</v>
      </c>
      <c r="C230" s="15" t="s">
        <v>328</v>
      </c>
      <c r="D230" s="15" t="s">
        <v>967</v>
      </c>
      <c r="E230" s="15" t="s">
        <v>603</v>
      </c>
      <c r="F230" s="15" t="s">
        <v>961</v>
      </c>
      <c r="G230" s="16" t="s">
        <v>9</v>
      </c>
    </row>
    <row r="231" spans="1:7" ht="26.4" x14ac:dyDescent="0.3">
      <c r="A231" s="15">
        <v>230</v>
      </c>
      <c r="B231" s="15" t="s">
        <v>326</v>
      </c>
      <c r="C231" s="15" t="s">
        <v>328</v>
      </c>
      <c r="D231" s="15" t="s">
        <v>968</v>
      </c>
      <c r="E231" s="15" t="s">
        <v>607</v>
      </c>
      <c r="F231" s="15" t="s">
        <v>961</v>
      </c>
      <c r="G231" s="16" t="s">
        <v>9</v>
      </c>
    </row>
    <row r="232" spans="1:7" ht="26.4" x14ac:dyDescent="0.3">
      <c r="A232" s="15">
        <v>231</v>
      </c>
      <c r="B232" s="15" t="s">
        <v>326</v>
      </c>
      <c r="C232" s="15" t="s">
        <v>328</v>
      </c>
      <c r="D232" s="15" t="s">
        <v>969</v>
      </c>
      <c r="E232" s="15" t="s">
        <v>970</v>
      </c>
      <c r="F232" s="15" t="s">
        <v>961</v>
      </c>
      <c r="G232" s="16" t="s">
        <v>9</v>
      </c>
    </row>
    <row r="233" spans="1:7" ht="26.4" x14ac:dyDescent="0.3">
      <c r="A233" s="15">
        <v>232</v>
      </c>
      <c r="B233" s="15" t="s">
        <v>326</v>
      </c>
      <c r="C233" s="15" t="s">
        <v>328</v>
      </c>
      <c r="D233" s="15" t="s">
        <v>971</v>
      </c>
      <c r="E233" s="15" t="s">
        <v>890</v>
      </c>
      <c r="F233" s="15" t="s">
        <v>961</v>
      </c>
      <c r="G233" s="16" t="s">
        <v>9</v>
      </c>
    </row>
    <row r="234" spans="1:7" ht="26.4" x14ac:dyDescent="0.3">
      <c r="A234" s="15">
        <v>233</v>
      </c>
      <c r="B234" s="15" t="s">
        <v>326</v>
      </c>
      <c r="C234" s="15" t="s">
        <v>328</v>
      </c>
      <c r="D234" s="15" t="s">
        <v>972</v>
      </c>
      <c r="E234" s="15" t="s">
        <v>973</v>
      </c>
      <c r="F234" s="15" t="s">
        <v>961</v>
      </c>
      <c r="G234" s="16" t="s">
        <v>9</v>
      </c>
    </row>
    <row r="235" spans="1:7" ht="26.4" x14ac:dyDescent="0.3">
      <c r="A235" s="15">
        <v>234</v>
      </c>
      <c r="B235" s="15" t="s">
        <v>326</v>
      </c>
      <c r="C235" s="15" t="s">
        <v>328</v>
      </c>
      <c r="D235" s="15" t="s">
        <v>974</v>
      </c>
      <c r="E235" s="15" t="s">
        <v>975</v>
      </c>
      <c r="F235" s="15" t="s">
        <v>961</v>
      </c>
      <c r="G235" s="16" t="s">
        <v>9</v>
      </c>
    </row>
    <row r="236" spans="1:7" ht="26.4" x14ac:dyDescent="0.3">
      <c r="A236" s="15">
        <v>235</v>
      </c>
      <c r="B236" s="15" t="s">
        <v>333</v>
      </c>
      <c r="C236" s="15" t="s">
        <v>334</v>
      </c>
      <c r="D236" s="15" t="s">
        <v>976</v>
      </c>
      <c r="E236" s="15" t="s">
        <v>594</v>
      </c>
      <c r="F236" s="15" t="s">
        <v>770</v>
      </c>
      <c r="G236" s="18" t="s">
        <v>13</v>
      </c>
    </row>
    <row r="237" spans="1:7" ht="26.4" x14ac:dyDescent="0.3">
      <c r="A237" s="15">
        <v>236</v>
      </c>
      <c r="B237" s="15" t="s">
        <v>333</v>
      </c>
      <c r="C237" s="15" t="s">
        <v>334</v>
      </c>
      <c r="D237" s="15" t="s">
        <v>977</v>
      </c>
      <c r="E237" s="15" t="s">
        <v>963</v>
      </c>
      <c r="F237" s="15" t="s">
        <v>770</v>
      </c>
      <c r="G237" s="18" t="s">
        <v>13</v>
      </c>
    </row>
    <row r="238" spans="1:7" x14ac:dyDescent="0.3">
      <c r="A238" s="15">
        <v>237</v>
      </c>
      <c r="B238" s="15" t="s">
        <v>338</v>
      </c>
      <c r="C238" s="15" t="s">
        <v>339</v>
      </c>
      <c r="D238" s="15" t="s">
        <v>978</v>
      </c>
      <c r="E238" s="15" t="s">
        <v>594</v>
      </c>
      <c r="F238" s="15" t="s">
        <v>979</v>
      </c>
      <c r="G238" s="16" t="s">
        <v>9</v>
      </c>
    </row>
    <row r="239" spans="1:7" x14ac:dyDescent="0.3">
      <c r="A239" s="15">
        <v>238</v>
      </c>
      <c r="B239" s="15" t="s">
        <v>338</v>
      </c>
      <c r="C239" s="15" t="s">
        <v>339</v>
      </c>
      <c r="D239" s="15" t="s">
        <v>980</v>
      </c>
      <c r="E239" s="15" t="s">
        <v>981</v>
      </c>
      <c r="F239" s="15" t="s">
        <v>979</v>
      </c>
      <c r="G239" s="16" t="s">
        <v>9</v>
      </c>
    </row>
    <row r="240" spans="1:7" ht="26.4" x14ac:dyDescent="0.3">
      <c r="A240" s="15">
        <v>239</v>
      </c>
      <c r="B240" s="15" t="s">
        <v>338</v>
      </c>
      <c r="C240" s="15" t="s">
        <v>339</v>
      </c>
      <c r="D240" s="15" t="s">
        <v>982</v>
      </c>
      <c r="E240" s="15" t="s">
        <v>983</v>
      </c>
      <c r="F240" s="15" t="s">
        <v>979</v>
      </c>
      <c r="G240" s="16" t="s">
        <v>9</v>
      </c>
    </row>
    <row r="241" spans="1:7" x14ac:dyDescent="0.3">
      <c r="A241" s="15">
        <v>240</v>
      </c>
      <c r="B241" s="15" t="s">
        <v>338</v>
      </c>
      <c r="C241" s="15" t="s">
        <v>339</v>
      </c>
      <c r="D241" s="15" t="s">
        <v>984</v>
      </c>
      <c r="E241" s="15" t="s">
        <v>607</v>
      </c>
      <c r="F241" s="15" t="s">
        <v>979</v>
      </c>
      <c r="G241" s="16" t="s">
        <v>9</v>
      </c>
    </row>
    <row r="242" spans="1:7" ht="26.4" x14ac:dyDescent="0.3">
      <c r="A242" s="15">
        <v>241</v>
      </c>
      <c r="B242" s="15" t="s">
        <v>344</v>
      </c>
      <c r="C242" s="15" t="s">
        <v>345</v>
      </c>
      <c r="D242" s="15" t="s">
        <v>985</v>
      </c>
      <c r="E242" s="15" t="s">
        <v>594</v>
      </c>
      <c r="F242" s="15" t="s">
        <v>986</v>
      </c>
      <c r="G242" s="16" t="s">
        <v>9</v>
      </c>
    </row>
    <row r="243" spans="1:7" ht="26.4" x14ac:dyDescent="0.3">
      <c r="A243" s="15">
        <v>242</v>
      </c>
      <c r="B243" s="15" t="s">
        <v>344</v>
      </c>
      <c r="C243" s="15" t="s">
        <v>345</v>
      </c>
      <c r="D243" s="15" t="s">
        <v>987</v>
      </c>
      <c r="E243" s="15" t="s">
        <v>988</v>
      </c>
      <c r="F243" s="15" t="s">
        <v>986</v>
      </c>
      <c r="G243" s="16" t="s">
        <v>9</v>
      </c>
    </row>
    <row r="244" spans="1:7" ht="26.4" x14ac:dyDescent="0.3">
      <c r="A244" s="15">
        <v>243</v>
      </c>
      <c r="B244" s="15" t="s">
        <v>344</v>
      </c>
      <c r="C244" s="15" t="s">
        <v>345</v>
      </c>
      <c r="D244" s="15" t="s">
        <v>989</v>
      </c>
      <c r="E244" s="15" t="s">
        <v>990</v>
      </c>
      <c r="F244" s="15" t="s">
        <v>986</v>
      </c>
      <c r="G244" s="16" t="s">
        <v>9</v>
      </c>
    </row>
    <row r="245" spans="1:7" x14ac:dyDescent="0.3">
      <c r="A245" s="15">
        <v>244</v>
      </c>
      <c r="B245" s="15" t="s">
        <v>350</v>
      </c>
      <c r="C245" s="15" t="s">
        <v>351</v>
      </c>
      <c r="D245" s="15" t="s">
        <v>991</v>
      </c>
      <c r="E245" s="15" t="s">
        <v>594</v>
      </c>
      <c r="F245" s="15" t="s">
        <v>770</v>
      </c>
      <c r="G245" s="18" t="s">
        <v>13</v>
      </c>
    </row>
    <row r="246" spans="1:7" x14ac:dyDescent="0.3">
      <c r="A246" s="15">
        <v>245</v>
      </c>
      <c r="B246" s="15" t="s">
        <v>350</v>
      </c>
      <c r="C246" s="15" t="s">
        <v>351</v>
      </c>
      <c r="D246" s="15" t="s">
        <v>992</v>
      </c>
      <c r="E246" s="15" t="s">
        <v>597</v>
      </c>
      <c r="F246" s="15" t="s">
        <v>770</v>
      </c>
      <c r="G246" s="18" t="s">
        <v>13</v>
      </c>
    </row>
    <row r="247" spans="1:7" x14ac:dyDescent="0.3">
      <c r="A247" s="15">
        <v>246</v>
      </c>
      <c r="B247" s="15" t="s">
        <v>355</v>
      </c>
      <c r="C247" s="15" t="s">
        <v>356</v>
      </c>
      <c r="D247" s="15" t="s">
        <v>993</v>
      </c>
      <c r="E247" s="15" t="s">
        <v>594</v>
      </c>
      <c r="F247" s="15" t="s">
        <v>770</v>
      </c>
      <c r="G247" s="18" t="s">
        <v>13</v>
      </c>
    </row>
    <row r="248" spans="1:7" x14ac:dyDescent="0.3">
      <c r="A248" s="15">
        <v>247</v>
      </c>
      <c r="B248" s="15" t="s">
        <v>359</v>
      </c>
      <c r="C248" s="15" t="s">
        <v>360</v>
      </c>
      <c r="D248" s="15" t="s">
        <v>994</v>
      </c>
      <c r="E248" s="15" t="s">
        <v>594</v>
      </c>
      <c r="F248" s="15" t="s">
        <v>770</v>
      </c>
      <c r="G248" s="18" t="s">
        <v>13</v>
      </c>
    </row>
    <row r="249" spans="1:7" x14ac:dyDescent="0.3">
      <c r="A249" s="15">
        <v>248</v>
      </c>
      <c r="B249" s="15" t="s">
        <v>359</v>
      </c>
      <c r="C249" s="15" t="s">
        <v>360</v>
      </c>
      <c r="D249" s="15" t="s">
        <v>995</v>
      </c>
      <c r="E249" s="15" t="s">
        <v>996</v>
      </c>
      <c r="F249" s="15" t="s">
        <v>770</v>
      </c>
      <c r="G249" s="18" t="s">
        <v>13</v>
      </c>
    </row>
    <row r="250" spans="1:7" x14ac:dyDescent="0.3">
      <c r="A250" s="15">
        <v>249</v>
      </c>
      <c r="B250" s="15" t="s">
        <v>364</v>
      </c>
      <c r="C250" s="15" t="s">
        <v>366</v>
      </c>
      <c r="D250" s="15" t="s">
        <v>997</v>
      </c>
      <c r="E250" s="15" t="s">
        <v>594</v>
      </c>
      <c r="F250" s="15" t="s">
        <v>998</v>
      </c>
      <c r="G250" s="18" t="s">
        <v>13</v>
      </c>
    </row>
    <row r="251" spans="1:7" x14ac:dyDescent="0.3">
      <c r="A251" s="15">
        <v>250</v>
      </c>
      <c r="B251" s="15" t="s">
        <v>364</v>
      </c>
      <c r="C251" s="15" t="s">
        <v>366</v>
      </c>
      <c r="D251" s="15" t="s">
        <v>999</v>
      </c>
      <c r="E251" s="15" t="s">
        <v>856</v>
      </c>
      <c r="F251" s="15" t="s">
        <v>998</v>
      </c>
      <c r="G251" s="18" t="s">
        <v>13</v>
      </c>
    </row>
    <row r="252" spans="1:7" x14ac:dyDescent="0.3">
      <c r="A252" s="15">
        <v>251</v>
      </c>
      <c r="B252" s="15" t="s">
        <v>364</v>
      </c>
      <c r="C252" s="15" t="s">
        <v>366</v>
      </c>
      <c r="D252" s="15" t="s">
        <v>1000</v>
      </c>
      <c r="E252" s="15" t="s">
        <v>607</v>
      </c>
      <c r="F252" s="15" t="s">
        <v>998</v>
      </c>
      <c r="G252" s="18" t="s">
        <v>13</v>
      </c>
    </row>
    <row r="253" spans="1:7" x14ac:dyDescent="0.3">
      <c r="A253" s="15">
        <v>252</v>
      </c>
      <c r="B253" s="15" t="s">
        <v>370</v>
      </c>
      <c r="C253" s="15" t="s">
        <v>371</v>
      </c>
      <c r="D253" s="15" t="s">
        <v>1001</v>
      </c>
      <c r="E253" s="15" t="s">
        <v>594</v>
      </c>
      <c r="F253" s="15" t="s">
        <v>1002</v>
      </c>
      <c r="G253" s="17" t="s">
        <v>11</v>
      </c>
    </row>
    <row r="254" spans="1:7" x14ac:dyDescent="0.3">
      <c r="A254" s="15">
        <v>253</v>
      </c>
      <c r="B254" s="15" t="s">
        <v>370</v>
      </c>
      <c r="C254" s="15" t="s">
        <v>371</v>
      </c>
      <c r="D254" s="15" t="s">
        <v>1003</v>
      </c>
      <c r="E254" s="15" t="s">
        <v>662</v>
      </c>
      <c r="F254" s="15" t="s">
        <v>1002</v>
      </c>
      <c r="G254" s="17" t="s">
        <v>11</v>
      </c>
    </row>
    <row r="255" spans="1:7" x14ac:dyDescent="0.3">
      <c r="A255" s="15">
        <v>254</v>
      </c>
      <c r="B255" s="15" t="s">
        <v>376</v>
      </c>
      <c r="C255" s="15" t="s">
        <v>377</v>
      </c>
      <c r="D255" s="15" t="s">
        <v>1004</v>
      </c>
      <c r="E255" s="15" t="s">
        <v>594</v>
      </c>
      <c r="F255" s="15" t="s">
        <v>770</v>
      </c>
      <c r="G255" s="18" t="s">
        <v>13</v>
      </c>
    </row>
    <row r="256" spans="1:7" x14ac:dyDescent="0.3">
      <c r="A256" s="15">
        <v>255</v>
      </c>
      <c r="B256" s="15" t="s">
        <v>376</v>
      </c>
      <c r="C256" s="15" t="s">
        <v>377</v>
      </c>
      <c r="D256" s="15" t="s">
        <v>1005</v>
      </c>
      <c r="E256" s="15" t="s">
        <v>597</v>
      </c>
      <c r="F256" s="15" t="s">
        <v>770</v>
      </c>
      <c r="G256" s="18" t="s">
        <v>13</v>
      </c>
    </row>
    <row r="257" spans="1:7" ht="26.4" x14ac:dyDescent="0.3">
      <c r="A257" s="15">
        <v>256</v>
      </c>
      <c r="B257" s="15" t="s">
        <v>381</v>
      </c>
      <c r="C257" s="15" t="s">
        <v>382</v>
      </c>
      <c r="D257" s="15" t="s">
        <v>1006</v>
      </c>
      <c r="E257" s="15" t="s">
        <v>594</v>
      </c>
      <c r="F257" s="15" t="s">
        <v>770</v>
      </c>
      <c r="G257" s="18" t="s">
        <v>13</v>
      </c>
    </row>
    <row r="258" spans="1:7" ht="26.4" x14ac:dyDescent="0.3">
      <c r="A258" s="15">
        <v>257</v>
      </c>
      <c r="B258" s="15" t="s">
        <v>381</v>
      </c>
      <c r="C258" s="15" t="s">
        <v>382</v>
      </c>
      <c r="D258" s="15" t="s">
        <v>1007</v>
      </c>
      <c r="E258" s="15" t="s">
        <v>1008</v>
      </c>
      <c r="F258" s="15" t="s">
        <v>770</v>
      </c>
      <c r="G258" s="18" t="s">
        <v>13</v>
      </c>
    </row>
    <row r="259" spans="1:7" x14ac:dyDescent="0.3">
      <c r="A259" s="15">
        <v>258</v>
      </c>
      <c r="B259" s="15" t="s">
        <v>386</v>
      </c>
      <c r="C259" s="15" t="s">
        <v>387</v>
      </c>
      <c r="D259" s="15" t="s">
        <v>1009</v>
      </c>
      <c r="E259" s="15" t="s">
        <v>594</v>
      </c>
      <c r="F259" s="15" t="s">
        <v>770</v>
      </c>
      <c r="G259" s="18" t="s">
        <v>13</v>
      </c>
    </row>
    <row r="260" spans="1:7" x14ac:dyDescent="0.3">
      <c r="A260" s="15">
        <v>259</v>
      </c>
      <c r="B260" s="15" t="s">
        <v>386</v>
      </c>
      <c r="C260" s="15" t="s">
        <v>387</v>
      </c>
      <c r="D260" s="15" t="s">
        <v>1010</v>
      </c>
      <c r="E260" s="15" t="s">
        <v>1011</v>
      </c>
      <c r="F260" s="15" t="s">
        <v>770</v>
      </c>
      <c r="G260" s="18" t="s">
        <v>13</v>
      </c>
    </row>
    <row r="261" spans="1:7" x14ac:dyDescent="0.3">
      <c r="A261" s="15">
        <v>260</v>
      </c>
      <c r="B261" s="15" t="s">
        <v>386</v>
      </c>
      <c r="C261" s="15" t="s">
        <v>387</v>
      </c>
      <c r="D261" s="15" t="s">
        <v>1012</v>
      </c>
      <c r="E261" s="15" t="s">
        <v>607</v>
      </c>
      <c r="F261" s="15" t="s">
        <v>770</v>
      </c>
      <c r="G261" s="18" t="s">
        <v>13</v>
      </c>
    </row>
    <row r="262" spans="1:7" ht="26.4" x14ac:dyDescent="0.3">
      <c r="A262" s="15">
        <v>261</v>
      </c>
      <c r="B262" s="15" t="s">
        <v>391</v>
      </c>
      <c r="C262" s="15" t="s">
        <v>392</v>
      </c>
      <c r="D262" s="15" t="s">
        <v>1013</v>
      </c>
      <c r="E262" s="15" t="s">
        <v>594</v>
      </c>
      <c r="F262" s="15" t="s">
        <v>770</v>
      </c>
      <c r="G262" s="18" t="s">
        <v>13</v>
      </c>
    </row>
    <row r="263" spans="1:7" ht="26.4" x14ac:dyDescent="0.3">
      <c r="A263" s="15">
        <v>262</v>
      </c>
      <c r="B263" s="15" t="s">
        <v>391</v>
      </c>
      <c r="C263" s="15" t="s">
        <v>392</v>
      </c>
      <c r="D263" s="15" t="s">
        <v>1014</v>
      </c>
      <c r="E263" s="15" t="s">
        <v>1015</v>
      </c>
      <c r="F263" s="15" t="s">
        <v>770</v>
      </c>
      <c r="G263" s="18" t="s">
        <v>13</v>
      </c>
    </row>
    <row r="264" spans="1:7" ht="26.4" x14ac:dyDescent="0.3">
      <c r="A264" s="15">
        <v>263</v>
      </c>
      <c r="B264" s="15" t="s">
        <v>391</v>
      </c>
      <c r="C264" s="15" t="s">
        <v>392</v>
      </c>
      <c r="D264" s="15" t="s">
        <v>1016</v>
      </c>
      <c r="E264" s="15" t="s">
        <v>1017</v>
      </c>
      <c r="F264" s="15" t="s">
        <v>770</v>
      </c>
      <c r="G264" s="18" t="s">
        <v>13</v>
      </c>
    </row>
    <row r="265" spans="1:7" ht="26.4" x14ac:dyDescent="0.3">
      <c r="A265" s="15">
        <v>264</v>
      </c>
      <c r="B265" s="15" t="s">
        <v>396</v>
      </c>
      <c r="C265" s="15" t="s">
        <v>397</v>
      </c>
      <c r="D265" s="15" t="s">
        <v>1018</v>
      </c>
      <c r="E265" s="15" t="s">
        <v>594</v>
      </c>
      <c r="F265" s="15" t="s">
        <v>770</v>
      </c>
      <c r="G265" s="18" t="s">
        <v>13</v>
      </c>
    </row>
    <row r="266" spans="1:7" ht="26.4" x14ac:dyDescent="0.3">
      <c r="A266" s="15">
        <v>265</v>
      </c>
      <c r="B266" s="15" t="s">
        <v>396</v>
      </c>
      <c r="C266" s="15" t="s">
        <v>397</v>
      </c>
      <c r="D266" s="15" t="s">
        <v>1019</v>
      </c>
      <c r="E266" s="15" t="s">
        <v>1020</v>
      </c>
      <c r="F266" s="15" t="s">
        <v>770</v>
      </c>
      <c r="G266" s="18" t="s">
        <v>13</v>
      </c>
    </row>
    <row r="267" spans="1:7" ht="26.4" x14ac:dyDescent="0.3">
      <c r="A267" s="15">
        <v>266</v>
      </c>
      <c r="B267" s="15" t="s">
        <v>396</v>
      </c>
      <c r="C267" s="15" t="s">
        <v>397</v>
      </c>
      <c r="D267" s="15" t="s">
        <v>1021</v>
      </c>
      <c r="E267" s="15" t="s">
        <v>1022</v>
      </c>
      <c r="F267" s="15" t="s">
        <v>770</v>
      </c>
      <c r="G267" s="18" t="s">
        <v>13</v>
      </c>
    </row>
    <row r="268" spans="1:7" x14ac:dyDescent="0.3">
      <c r="A268" s="15">
        <v>267</v>
      </c>
      <c r="B268" s="15" t="s">
        <v>401</v>
      </c>
      <c r="C268" s="15" t="s">
        <v>402</v>
      </c>
      <c r="D268" s="15" t="s">
        <v>1023</v>
      </c>
      <c r="E268" s="15" t="s">
        <v>594</v>
      </c>
      <c r="F268" s="15" t="s">
        <v>1024</v>
      </c>
      <c r="G268" s="19" t="s">
        <v>15</v>
      </c>
    </row>
    <row r="269" spans="1:7" x14ac:dyDescent="0.3">
      <c r="A269" s="15">
        <v>268</v>
      </c>
      <c r="B269" s="15" t="s">
        <v>401</v>
      </c>
      <c r="C269" s="15" t="s">
        <v>402</v>
      </c>
      <c r="D269" s="15" t="s">
        <v>1025</v>
      </c>
      <c r="E269" s="15" t="s">
        <v>1026</v>
      </c>
      <c r="F269" s="15" t="s">
        <v>1024</v>
      </c>
      <c r="G269" s="19" t="s">
        <v>15</v>
      </c>
    </row>
    <row r="270" spans="1:7" ht="26.4" x14ac:dyDescent="0.3">
      <c r="A270" s="15">
        <v>269</v>
      </c>
      <c r="B270" s="15" t="s">
        <v>407</v>
      </c>
      <c r="C270" s="15" t="s">
        <v>408</v>
      </c>
      <c r="D270" s="15" t="s">
        <v>1027</v>
      </c>
      <c r="E270" s="15" t="s">
        <v>594</v>
      </c>
      <c r="F270" s="15" t="s">
        <v>770</v>
      </c>
      <c r="G270" s="18" t="s">
        <v>13</v>
      </c>
    </row>
    <row r="271" spans="1:7" x14ac:dyDescent="0.3">
      <c r="A271" s="15">
        <v>270</v>
      </c>
      <c r="B271" s="15" t="s">
        <v>412</v>
      </c>
      <c r="C271" s="15" t="s">
        <v>413</v>
      </c>
      <c r="D271" s="15" t="s">
        <v>1028</v>
      </c>
      <c r="E271" s="15" t="s">
        <v>594</v>
      </c>
      <c r="F271" s="15" t="s">
        <v>770</v>
      </c>
      <c r="G271" s="18" t="s">
        <v>13</v>
      </c>
    </row>
    <row r="272" spans="1:7" x14ac:dyDescent="0.3">
      <c r="A272" s="15">
        <v>271</v>
      </c>
      <c r="B272" s="15" t="s">
        <v>417</v>
      </c>
      <c r="C272" s="15" t="s">
        <v>418</v>
      </c>
      <c r="D272" s="15" t="s">
        <v>1029</v>
      </c>
      <c r="E272" s="15" t="s">
        <v>594</v>
      </c>
      <c r="F272" s="15" t="s">
        <v>770</v>
      </c>
      <c r="G272" s="18" t="s">
        <v>13</v>
      </c>
    </row>
    <row r="273" spans="1:7" x14ac:dyDescent="0.3">
      <c r="A273" s="15">
        <v>272</v>
      </c>
      <c r="B273" s="15" t="s">
        <v>421</v>
      </c>
      <c r="C273" s="15" t="s">
        <v>423</v>
      </c>
      <c r="D273" s="15" t="s">
        <v>1030</v>
      </c>
      <c r="E273" s="15" t="s">
        <v>594</v>
      </c>
      <c r="F273" s="15" t="s">
        <v>1031</v>
      </c>
      <c r="G273" s="19" t="s">
        <v>15</v>
      </c>
    </row>
    <row r="274" spans="1:7" x14ac:dyDescent="0.3">
      <c r="A274" s="15">
        <v>273</v>
      </c>
      <c r="B274" s="15" t="s">
        <v>421</v>
      </c>
      <c r="C274" s="15" t="s">
        <v>423</v>
      </c>
      <c r="D274" s="15" t="s">
        <v>1032</v>
      </c>
      <c r="E274" s="15" t="s">
        <v>1033</v>
      </c>
      <c r="F274" s="15" t="s">
        <v>1031</v>
      </c>
      <c r="G274" s="19" t="s">
        <v>15</v>
      </c>
    </row>
    <row r="275" spans="1:7" x14ac:dyDescent="0.3">
      <c r="A275" s="15">
        <v>274</v>
      </c>
      <c r="B275" s="15" t="s">
        <v>421</v>
      </c>
      <c r="C275" s="15" t="s">
        <v>423</v>
      </c>
      <c r="D275" s="15" t="s">
        <v>1034</v>
      </c>
      <c r="E275" s="15" t="s">
        <v>1035</v>
      </c>
      <c r="F275" s="15" t="s">
        <v>1031</v>
      </c>
      <c r="G275" s="19" t="s">
        <v>15</v>
      </c>
    </row>
    <row r="276" spans="1:7" x14ac:dyDescent="0.3">
      <c r="A276" s="15">
        <v>275</v>
      </c>
      <c r="B276" s="15" t="s">
        <v>428</v>
      </c>
      <c r="C276" s="15" t="s">
        <v>429</v>
      </c>
      <c r="D276" s="15" t="s">
        <v>1036</v>
      </c>
      <c r="E276" s="15" t="s">
        <v>594</v>
      </c>
      <c r="F276" s="15" t="s">
        <v>770</v>
      </c>
      <c r="G276" s="18" t="s">
        <v>13</v>
      </c>
    </row>
    <row r="277" spans="1:7" x14ac:dyDescent="0.3">
      <c r="A277" s="15">
        <v>276</v>
      </c>
      <c r="B277" s="15" t="s">
        <v>428</v>
      </c>
      <c r="C277" s="15" t="s">
        <v>429</v>
      </c>
      <c r="D277" s="15" t="s">
        <v>1037</v>
      </c>
      <c r="E277" s="15" t="s">
        <v>1038</v>
      </c>
      <c r="F277" s="15" t="s">
        <v>770</v>
      </c>
      <c r="G277" s="18" t="s">
        <v>13</v>
      </c>
    </row>
    <row r="278" spans="1:7" x14ac:dyDescent="0.3">
      <c r="A278" s="15">
        <v>277</v>
      </c>
      <c r="B278" s="15" t="s">
        <v>433</v>
      </c>
      <c r="C278" s="15" t="s">
        <v>434</v>
      </c>
      <c r="D278" s="15" t="s">
        <v>1039</v>
      </c>
      <c r="E278" s="15" t="s">
        <v>594</v>
      </c>
      <c r="F278" s="15" t="s">
        <v>770</v>
      </c>
      <c r="G278" s="18" t="s">
        <v>13</v>
      </c>
    </row>
    <row r="279" spans="1:7" x14ac:dyDescent="0.3">
      <c r="A279" s="15">
        <v>278</v>
      </c>
      <c r="B279" s="15" t="s">
        <v>433</v>
      </c>
      <c r="C279" s="15" t="s">
        <v>434</v>
      </c>
      <c r="D279" s="15" t="s">
        <v>1040</v>
      </c>
      <c r="E279" s="15" t="s">
        <v>1041</v>
      </c>
      <c r="F279" s="15" t="s">
        <v>770</v>
      </c>
      <c r="G279" s="18" t="s">
        <v>13</v>
      </c>
    </row>
    <row r="280" spans="1:7" x14ac:dyDescent="0.3">
      <c r="A280" s="15">
        <v>279</v>
      </c>
      <c r="B280" s="15" t="s">
        <v>438</v>
      </c>
      <c r="C280" s="15" t="s">
        <v>439</v>
      </c>
      <c r="D280" s="15" t="s">
        <v>1042</v>
      </c>
      <c r="E280" s="15" t="s">
        <v>594</v>
      </c>
      <c r="F280" s="15" t="s">
        <v>770</v>
      </c>
      <c r="G280" s="18" t="s">
        <v>13</v>
      </c>
    </row>
    <row r="281" spans="1:7" ht="26.4" x14ac:dyDescent="0.3">
      <c r="A281" s="15">
        <v>280</v>
      </c>
      <c r="B281" s="15" t="s">
        <v>443</v>
      </c>
      <c r="C281" s="15" t="s">
        <v>444</v>
      </c>
      <c r="D281" s="15" t="s">
        <v>1043</v>
      </c>
      <c r="E281" s="15" t="s">
        <v>594</v>
      </c>
      <c r="F281" s="15" t="s">
        <v>770</v>
      </c>
      <c r="G281" s="18" t="s">
        <v>13</v>
      </c>
    </row>
    <row r="282" spans="1:7" ht="26.4" x14ac:dyDescent="0.3">
      <c r="A282" s="15">
        <v>281</v>
      </c>
      <c r="B282" s="15" t="s">
        <v>443</v>
      </c>
      <c r="C282" s="15" t="s">
        <v>444</v>
      </c>
      <c r="D282" s="15" t="s">
        <v>1044</v>
      </c>
      <c r="E282" s="15" t="s">
        <v>1033</v>
      </c>
      <c r="F282" s="15" t="s">
        <v>770</v>
      </c>
      <c r="G282" s="18" t="s">
        <v>13</v>
      </c>
    </row>
    <row r="283" spans="1:7" ht="26.4" x14ac:dyDescent="0.3">
      <c r="A283" s="15">
        <v>282</v>
      </c>
      <c r="B283" s="15" t="s">
        <v>443</v>
      </c>
      <c r="C283" s="15" t="s">
        <v>444</v>
      </c>
      <c r="D283" s="15" t="s">
        <v>1045</v>
      </c>
      <c r="E283" s="15" t="s">
        <v>607</v>
      </c>
      <c r="F283" s="15" t="s">
        <v>770</v>
      </c>
      <c r="G283" s="18" t="s">
        <v>13</v>
      </c>
    </row>
    <row r="284" spans="1:7" x14ac:dyDescent="0.3">
      <c r="A284" s="15">
        <v>283</v>
      </c>
      <c r="B284" s="15" t="s">
        <v>448</v>
      </c>
      <c r="C284" s="15" t="s">
        <v>449</v>
      </c>
      <c r="D284" s="15" t="s">
        <v>1046</v>
      </c>
      <c r="E284" s="15" t="s">
        <v>594</v>
      </c>
      <c r="F284" s="15" t="s">
        <v>1047</v>
      </c>
      <c r="G284" s="17" t="s">
        <v>11</v>
      </c>
    </row>
    <row r="285" spans="1:7" ht="26.4" x14ac:dyDescent="0.3">
      <c r="A285" s="15">
        <v>284</v>
      </c>
      <c r="B285" s="15" t="s">
        <v>448</v>
      </c>
      <c r="C285" s="15" t="s">
        <v>449</v>
      </c>
      <c r="D285" s="15" t="s">
        <v>1048</v>
      </c>
      <c r="E285" s="15" t="s">
        <v>1049</v>
      </c>
      <c r="F285" s="15" t="s">
        <v>1047</v>
      </c>
      <c r="G285" s="17" t="s">
        <v>11</v>
      </c>
    </row>
    <row r="286" spans="1:7" ht="26.4" x14ac:dyDescent="0.3">
      <c r="A286" s="15">
        <v>285</v>
      </c>
      <c r="B286" s="15" t="s">
        <v>454</v>
      </c>
      <c r="C286" s="15" t="s">
        <v>455</v>
      </c>
      <c r="D286" s="15" t="s">
        <v>1050</v>
      </c>
      <c r="E286" s="15" t="s">
        <v>594</v>
      </c>
      <c r="F286" s="15" t="s">
        <v>770</v>
      </c>
      <c r="G286" s="18" t="s">
        <v>13</v>
      </c>
    </row>
    <row r="287" spans="1:7" x14ac:dyDescent="0.3">
      <c r="A287" s="15">
        <v>286</v>
      </c>
      <c r="B287" s="15" t="s">
        <v>459</v>
      </c>
      <c r="C287" s="15" t="s">
        <v>461</v>
      </c>
      <c r="D287" s="15" t="s">
        <v>1051</v>
      </c>
      <c r="E287" s="15" t="s">
        <v>594</v>
      </c>
      <c r="F287" s="15" t="s">
        <v>464</v>
      </c>
      <c r="G287" s="19" t="s">
        <v>15</v>
      </c>
    </row>
    <row r="288" spans="1:7" x14ac:dyDescent="0.3">
      <c r="A288" s="15">
        <v>287</v>
      </c>
      <c r="B288" s="15" t="s">
        <v>459</v>
      </c>
      <c r="C288" s="15" t="s">
        <v>461</v>
      </c>
      <c r="D288" s="15" t="s">
        <v>1052</v>
      </c>
      <c r="E288" s="15" t="s">
        <v>1053</v>
      </c>
      <c r="F288" s="15" t="s">
        <v>464</v>
      </c>
      <c r="G288" s="19" t="s">
        <v>15</v>
      </c>
    </row>
    <row r="289" spans="1:7" x14ac:dyDescent="0.3">
      <c r="A289" s="15">
        <v>288</v>
      </c>
      <c r="B289" s="15" t="s">
        <v>466</v>
      </c>
      <c r="C289" s="15" t="s">
        <v>467</v>
      </c>
      <c r="D289" s="15" t="s">
        <v>1054</v>
      </c>
      <c r="E289" s="15" t="s">
        <v>594</v>
      </c>
      <c r="F289" s="15" t="s">
        <v>470</v>
      </c>
      <c r="G289" s="19" t="s">
        <v>15</v>
      </c>
    </row>
    <row r="290" spans="1:7" x14ac:dyDescent="0.3">
      <c r="A290" s="15">
        <v>289</v>
      </c>
      <c r="B290" s="15" t="s">
        <v>466</v>
      </c>
      <c r="C290" s="15" t="s">
        <v>467</v>
      </c>
      <c r="D290" s="15" t="s">
        <v>1055</v>
      </c>
      <c r="E290" s="15" t="s">
        <v>607</v>
      </c>
      <c r="F290" s="15" t="s">
        <v>470</v>
      </c>
      <c r="G290" s="19" t="s">
        <v>15</v>
      </c>
    </row>
    <row r="291" spans="1:7" x14ac:dyDescent="0.3">
      <c r="A291" s="15">
        <v>290</v>
      </c>
      <c r="B291" s="15" t="s">
        <v>472</v>
      </c>
      <c r="C291" s="15" t="s">
        <v>473</v>
      </c>
      <c r="D291" s="15" t="s">
        <v>1056</v>
      </c>
      <c r="E291" s="15" t="s">
        <v>594</v>
      </c>
      <c r="F291" s="15" t="s">
        <v>476</v>
      </c>
      <c r="G291" s="17" t="s">
        <v>11</v>
      </c>
    </row>
    <row r="292" spans="1:7" x14ac:dyDescent="0.3">
      <c r="A292" s="15">
        <v>291</v>
      </c>
      <c r="B292" s="15" t="s">
        <v>472</v>
      </c>
      <c r="C292" s="15" t="s">
        <v>473</v>
      </c>
      <c r="D292" s="15" t="s">
        <v>1057</v>
      </c>
      <c r="E292" s="15" t="s">
        <v>1058</v>
      </c>
      <c r="F292" s="15" t="s">
        <v>476</v>
      </c>
      <c r="G292" s="17" t="s">
        <v>11</v>
      </c>
    </row>
    <row r="293" spans="1:7" ht="26.4" x14ac:dyDescent="0.3">
      <c r="A293" s="15">
        <v>292</v>
      </c>
      <c r="B293" s="15" t="s">
        <v>478</v>
      </c>
      <c r="C293" s="15" t="s">
        <v>479</v>
      </c>
      <c r="D293" s="15" t="s">
        <v>1059</v>
      </c>
      <c r="E293" s="15" t="s">
        <v>594</v>
      </c>
      <c r="F293" s="15" t="s">
        <v>464</v>
      </c>
      <c r="G293" s="19" t="s">
        <v>15</v>
      </c>
    </row>
    <row r="294" spans="1:7" x14ac:dyDescent="0.3">
      <c r="A294" s="15">
        <v>293</v>
      </c>
      <c r="B294" s="15" t="s">
        <v>483</v>
      </c>
      <c r="C294" s="15" t="s">
        <v>484</v>
      </c>
      <c r="D294" s="15" t="s">
        <v>1060</v>
      </c>
      <c r="E294" s="15" t="s">
        <v>594</v>
      </c>
      <c r="F294" s="15" t="s">
        <v>487</v>
      </c>
      <c r="G294" s="19" t="s">
        <v>15</v>
      </c>
    </row>
    <row r="295" spans="1:7" x14ac:dyDescent="0.3">
      <c r="A295" s="15">
        <v>294</v>
      </c>
      <c r="B295" s="15" t="s">
        <v>483</v>
      </c>
      <c r="C295" s="15" t="s">
        <v>484</v>
      </c>
      <c r="D295" s="15" t="s">
        <v>1061</v>
      </c>
      <c r="E295" s="15" t="s">
        <v>1062</v>
      </c>
      <c r="F295" s="15" t="s">
        <v>487</v>
      </c>
      <c r="G295" s="19" t="s">
        <v>15</v>
      </c>
    </row>
    <row r="296" spans="1:7" x14ac:dyDescent="0.3">
      <c r="A296" s="15">
        <v>295</v>
      </c>
      <c r="B296" s="15" t="s">
        <v>489</v>
      </c>
      <c r="C296" s="15" t="s">
        <v>491</v>
      </c>
      <c r="D296" s="15" t="s">
        <v>1063</v>
      </c>
      <c r="E296" s="15" t="s">
        <v>594</v>
      </c>
      <c r="F296" s="15" t="s">
        <v>770</v>
      </c>
      <c r="G296" s="18" t="s">
        <v>13</v>
      </c>
    </row>
    <row r="297" spans="1:7" x14ac:dyDescent="0.3">
      <c r="A297" s="15">
        <v>296</v>
      </c>
      <c r="B297" s="15" t="s">
        <v>489</v>
      </c>
      <c r="C297" s="15" t="s">
        <v>491</v>
      </c>
      <c r="D297" s="15" t="s">
        <v>1064</v>
      </c>
      <c r="E297" s="15" t="s">
        <v>599</v>
      </c>
      <c r="F297" s="15" t="s">
        <v>770</v>
      </c>
      <c r="G297" s="18" t="s">
        <v>13</v>
      </c>
    </row>
    <row r="298" spans="1:7" x14ac:dyDescent="0.3">
      <c r="A298" s="15">
        <v>297</v>
      </c>
      <c r="B298" s="15" t="s">
        <v>495</v>
      </c>
      <c r="C298" s="15" t="s">
        <v>496</v>
      </c>
      <c r="D298" s="15" t="s">
        <v>1065</v>
      </c>
      <c r="E298" s="15" t="s">
        <v>594</v>
      </c>
      <c r="F298" s="15" t="s">
        <v>770</v>
      </c>
      <c r="G298" s="18" t="s">
        <v>13</v>
      </c>
    </row>
    <row r="299" spans="1:7" x14ac:dyDescent="0.3">
      <c r="A299" s="15">
        <v>298</v>
      </c>
      <c r="B299" s="15" t="s">
        <v>495</v>
      </c>
      <c r="C299" s="15" t="s">
        <v>496</v>
      </c>
      <c r="D299" s="15" t="s">
        <v>1066</v>
      </c>
      <c r="E299" s="15" t="s">
        <v>1067</v>
      </c>
      <c r="F299" s="15" t="s">
        <v>770</v>
      </c>
      <c r="G299" s="18" t="s">
        <v>13</v>
      </c>
    </row>
    <row r="300" spans="1:7" x14ac:dyDescent="0.3">
      <c r="A300" s="15">
        <v>299</v>
      </c>
      <c r="B300" s="15" t="s">
        <v>500</v>
      </c>
      <c r="C300" s="15" t="s">
        <v>501</v>
      </c>
      <c r="D300" s="15" t="s">
        <v>1068</v>
      </c>
      <c r="E300" s="15" t="s">
        <v>594</v>
      </c>
      <c r="F300" s="15" t="s">
        <v>770</v>
      </c>
      <c r="G300" s="18" t="s">
        <v>13</v>
      </c>
    </row>
    <row r="301" spans="1:7" x14ac:dyDescent="0.3">
      <c r="A301" s="15">
        <v>300</v>
      </c>
      <c r="B301" s="15" t="s">
        <v>500</v>
      </c>
      <c r="C301" s="15" t="s">
        <v>501</v>
      </c>
      <c r="D301" s="15" t="s">
        <v>1069</v>
      </c>
      <c r="E301" s="15" t="s">
        <v>1070</v>
      </c>
      <c r="F301" s="15" t="s">
        <v>770</v>
      </c>
      <c r="G301" s="18" t="s">
        <v>13</v>
      </c>
    </row>
    <row r="302" spans="1:7" x14ac:dyDescent="0.3">
      <c r="A302" s="15">
        <v>301</v>
      </c>
      <c r="B302" s="15" t="s">
        <v>500</v>
      </c>
      <c r="C302" s="15" t="s">
        <v>501</v>
      </c>
      <c r="D302" s="15" t="s">
        <v>1071</v>
      </c>
      <c r="E302" s="15" t="s">
        <v>1072</v>
      </c>
      <c r="F302" s="15" t="s">
        <v>770</v>
      </c>
      <c r="G302" s="18" t="s">
        <v>13</v>
      </c>
    </row>
    <row r="303" spans="1:7" x14ac:dyDescent="0.3">
      <c r="A303" s="15">
        <v>302</v>
      </c>
      <c r="B303" s="15" t="s">
        <v>505</v>
      </c>
      <c r="C303" s="15" t="s">
        <v>506</v>
      </c>
      <c r="D303" s="15" t="s">
        <v>1073</v>
      </c>
      <c r="E303" s="15" t="s">
        <v>594</v>
      </c>
      <c r="F303" s="15" t="s">
        <v>770</v>
      </c>
      <c r="G303" s="18" t="s">
        <v>13</v>
      </c>
    </row>
    <row r="304" spans="1:7" x14ac:dyDescent="0.3">
      <c r="A304" s="15">
        <v>303</v>
      </c>
      <c r="B304" s="15" t="s">
        <v>510</v>
      </c>
      <c r="C304" s="15" t="s">
        <v>512</v>
      </c>
      <c r="D304" s="15" t="s">
        <v>1074</v>
      </c>
      <c r="E304" s="15" t="s">
        <v>75</v>
      </c>
      <c r="F304" s="15" t="s">
        <v>515</v>
      </c>
      <c r="G304" s="16" t="s">
        <v>9</v>
      </c>
    </row>
    <row r="305" spans="1:7" x14ac:dyDescent="0.3">
      <c r="A305" s="15">
        <v>304</v>
      </c>
      <c r="B305" s="15" t="s">
        <v>510</v>
      </c>
      <c r="C305" s="15" t="s">
        <v>512</v>
      </c>
      <c r="D305" s="15" t="s">
        <v>1075</v>
      </c>
      <c r="E305" s="15" t="s">
        <v>1076</v>
      </c>
      <c r="F305" s="15" t="s">
        <v>515</v>
      </c>
      <c r="G305" s="16" t="s">
        <v>9</v>
      </c>
    </row>
    <row r="306" spans="1:7" x14ac:dyDescent="0.3">
      <c r="A306" s="15">
        <v>305</v>
      </c>
      <c r="B306" s="15" t="s">
        <v>510</v>
      </c>
      <c r="C306" s="15" t="s">
        <v>512</v>
      </c>
      <c r="D306" s="15" t="s">
        <v>1077</v>
      </c>
      <c r="E306" s="15" t="s">
        <v>1078</v>
      </c>
      <c r="F306" s="15" t="s">
        <v>515</v>
      </c>
      <c r="G306" s="16" t="s">
        <v>9</v>
      </c>
    </row>
    <row r="307" spans="1:7" x14ac:dyDescent="0.3">
      <c r="A307" s="15">
        <v>306</v>
      </c>
      <c r="B307" s="15" t="s">
        <v>510</v>
      </c>
      <c r="C307" s="15" t="s">
        <v>512</v>
      </c>
      <c r="D307" s="15" t="s">
        <v>1079</v>
      </c>
      <c r="E307" s="15" t="s">
        <v>1080</v>
      </c>
      <c r="F307" s="15" t="s">
        <v>515</v>
      </c>
      <c r="G307" s="16" t="s">
        <v>9</v>
      </c>
    </row>
    <row r="308" spans="1:7" x14ac:dyDescent="0.3">
      <c r="A308" s="15">
        <v>307</v>
      </c>
      <c r="B308" s="15" t="s">
        <v>510</v>
      </c>
      <c r="C308" s="15" t="s">
        <v>512</v>
      </c>
      <c r="D308" s="15" t="s">
        <v>1081</v>
      </c>
      <c r="E308" s="15" t="s">
        <v>1082</v>
      </c>
      <c r="F308" s="15" t="s">
        <v>515</v>
      </c>
      <c r="G308" s="16" t="s">
        <v>9</v>
      </c>
    </row>
    <row r="309" spans="1:7" x14ac:dyDescent="0.3">
      <c r="A309" s="15">
        <v>308</v>
      </c>
      <c r="B309" s="15" t="s">
        <v>510</v>
      </c>
      <c r="C309" s="15" t="s">
        <v>512</v>
      </c>
      <c r="D309" s="15" t="s">
        <v>1083</v>
      </c>
      <c r="E309" s="15" t="s">
        <v>1084</v>
      </c>
      <c r="F309" s="15" t="s">
        <v>515</v>
      </c>
      <c r="G309" s="16" t="s">
        <v>9</v>
      </c>
    </row>
    <row r="310" spans="1:7" x14ac:dyDescent="0.3">
      <c r="A310" s="15">
        <v>309</v>
      </c>
      <c r="B310" s="15" t="s">
        <v>517</v>
      </c>
      <c r="C310" s="15" t="s">
        <v>518</v>
      </c>
      <c r="D310" s="15" t="s">
        <v>1085</v>
      </c>
      <c r="E310" s="15" t="s">
        <v>594</v>
      </c>
      <c r="F310" s="15" t="s">
        <v>770</v>
      </c>
      <c r="G310" s="18" t="s">
        <v>13</v>
      </c>
    </row>
    <row r="311" spans="1:7" x14ac:dyDescent="0.3">
      <c r="A311" s="15">
        <v>310</v>
      </c>
      <c r="B311" s="15" t="s">
        <v>517</v>
      </c>
      <c r="C311" s="15" t="s">
        <v>518</v>
      </c>
      <c r="D311" s="15" t="s">
        <v>1086</v>
      </c>
      <c r="E311" s="15" t="s">
        <v>875</v>
      </c>
      <c r="F311" s="15" t="s">
        <v>770</v>
      </c>
      <c r="G311" s="18" t="s">
        <v>13</v>
      </c>
    </row>
    <row r="312" spans="1:7" x14ac:dyDescent="0.3">
      <c r="A312" s="15">
        <v>311</v>
      </c>
      <c r="B312" s="15" t="s">
        <v>523</v>
      </c>
      <c r="C312" s="15" t="s">
        <v>524</v>
      </c>
      <c r="D312" s="15" t="s">
        <v>1087</v>
      </c>
      <c r="E312" s="15" t="s">
        <v>835</v>
      </c>
      <c r="F312" s="15" t="s">
        <v>527</v>
      </c>
      <c r="G312" s="17" t="s">
        <v>11</v>
      </c>
    </row>
    <row r="313" spans="1:7" x14ac:dyDescent="0.3">
      <c r="A313" s="15">
        <v>312</v>
      </c>
      <c r="B313" s="15" t="s">
        <v>523</v>
      </c>
      <c r="C313" s="15" t="s">
        <v>524</v>
      </c>
      <c r="D313" s="15" t="s">
        <v>1088</v>
      </c>
      <c r="E313" s="15" t="s">
        <v>835</v>
      </c>
      <c r="F313" s="15" t="s">
        <v>527</v>
      </c>
      <c r="G313" s="17" t="s">
        <v>11</v>
      </c>
    </row>
    <row r="314" spans="1:7" x14ac:dyDescent="0.3">
      <c r="A314" s="15">
        <v>313</v>
      </c>
      <c r="B314" s="15" t="s">
        <v>523</v>
      </c>
      <c r="C314" s="15" t="s">
        <v>524</v>
      </c>
      <c r="D314" s="15" t="s">
        <v>1089</v>
      </c>
      <c r="E314" s="15" t="s">
        <v>835</v>
      </c>
      <c r="F314" s="15" t="s">
        <v>527</v>
      </c>
      <c r="G314" s="17" t="s">
        <v>11</v>
      </c>
    </row>
    <row r="315" spans="1:7" x14ac:dyDescent="0.3">
      <c r="A315" s="15">
        <v>314</v>
      </c>
      <c r="B315" s="15" t="s">
        <v>529</v>
      </c>
      <c r="C315" s="15" t="s">
        <v>530</v>
      </c>
      <c r="D315" s="15" t="s">
        <v>1090</v>
      </c>
      <c r="E315" s="15" t="s">
        <v>1091</v>
      </c>
      <c r="F315" s="15" t="s">
        <v>770</v>
      </c>
      <c r="G315" s="18" t="s">
        <v>13</v>
      </c>
    </row>
    <row r="316" spans="1:7" x14ac:dyDescent="0.3">
      <c r="A316" s="15">
        <v>315</v>
      </c>
      <c r="B316" s="15" t="s">
        <v>529</v>
      </c>
      <c r="C316" s="15" t="s">
        <v>530</v>
      </c>
      <c r="D316" s="15" t="s">
        <v>1092</v>
      </c>
      <c r="E316" s="15" t="s">
        <v>1093</v>
      </c>
      <c r="F316" s="15" t="s">
        <v>770</v>
      </c>
      <c r="G316" s="18" t="s">
        <v>13</v>
      </c>
    </row>
    <row r="317" spans="1:7" ht="26.4" x14ac:dyDescent="0.3">
      <c r="A317" s="15">
        <v>316</v>
      </c>
      <c r="B317" s="15" t="s">
        <v>534</v>
      </c>
      <c r="C317" s="15" t="s">
        <v>536</v>
      </c>
      <c r="D317" s="15" t="s">
        <v>1094</v>
      </c>
      <c r="E317" s="15" t="s">
        <v>594</v>
      </c>
      <c r="F317" s="15" t="s">
        <v>788</v>
      </c>
      <c r="G317" s="19" t="s">
        <v>15</v>
      </c>
    </row>
    <row r="318" spans="1:7" x14ac:dyDescent="0.3">
      <c r="A318" s="15">
        <v>317</v>
      </c>
      <c r="B318" s="15" t="s">
        <v>540</v>
      </c>
      <c r="C318" s="15" t="s">
        <v>541</v>
      </c>
      <c r="D318" s="15" t="s">
        <v>1095</v>
      </c>
      <c r="E318" s="15" t="s">
        <v>1096</v>
      </c>
      <c r="F318" s="15" t="s">
        <v>1097</v>
      </c>
      <c r="G318" s="16" t="s">
        <v>9</v>
      </c>
    </row>
    <row r="319" spans="1:7" x14ac:dyDescent="0.3">
      <c r="A319" s="15">
        <v>318</v>
      </c>
      <c r="B319" s="15" t="s">
        <v>545</v>
      </c>
      <c r="C319" s="15" t="s">
        <v>547</v>
      </c>
      <c r="D319" s="15" t="s">
        <v>1098</v>
      </c>
      <c r="E319" s="15" t="s">
        <v>594</v>
      </c>
      <c r="F319" s="15" t="s">
        <v>550</v>
      </c>
      <c r="G319" s="20" t="s">
        <v>17</v>
      </c>
    </row>
    <row r="320" spans="1:7" x14ac:dyDescent="0.3">
      <c r="A320" s="15">
        <v>319</v>
      </c>
      <c r="B320" s="15" t="s">
        <v>545</v>
      </c>
      <c r="C320" s="15" t="s">
        <v>547</v>
      </c>
      <c r="D320" s="15" t="s">
        <v>1099</v>
      </c>
      <c r="E320" s="15" t="s">
        <v>1100</v>
      </c>
      <c r="F320" s="15" t="s">
        <v>550</v>
      </c>
      <c r="G320" s="20" t="s">
        <v>17</v>
      </c>
    </row>
    <row r="321" spans="1:7" x14ac:dyDescent="0.3">
      <c r="A321" s="15">
        <v>320</v>
      </c>
      <c r="B321" s="15" t="s">
        <v>552</v>
      </c>
      <c r="C321" s="15" t="s">
        <v>553</v>
      </c>
      <c r="D321" s="15" t="s">
        <v>1101</v>
      </c>
      <c r="E321" s="15" t="s">
        <v>594</v>
      </c>
      <c r="F321" s="15" t="s">
        <v>556</v>
      </c>
      <c r="G321" s="20" t="s">
        <v>17</v>
      </c>
    </row>
    <row r="322" spans="1:7" x14ac:dyDescent="0.3">
      <c r="A322" s="15">
        <v>321</v>
      </c>
      <c r="B322" s="15" t="s">
        <v>552</v>
      </c>
      <c r="C322" s="15" t="s">
        <v>553</v>
      </c>
      <c r="D322" s="15" t="s">
        <v>1102</v>
      </c>
      <c r="E322" s="15" t="s">
        <v>1103</v>
      </c>
      <c r="F322" s="15" t="s">
        <v>556</v>
      </c>
      <c r="G322" s="20" t="s">
        <v>17</v>
      </c>
    </row>
    <row r="323" spans="1:7" x14ac:dyDescent="0.3">
      <c r="A323" s="15">
        <v>322</v>
      </c>
      <c r="B323" s="15" t="s">
        <v>558</v>
      </c>
      <c r="C323" s="15" t="s">
        <v>559</v>
      </c>
      <c r="D323" s="15" t="s">
        <v>561</v>
      </c>
      <c r="E323" s="15" t="s">
        <v>594</v>
      </c>
      <c r="F323" s="15" t="s">
        <v>562</v>
      </c>
      <c r="G323" s="20" t="s">
        <v>17</v>
      </c>
    </row>
    <row r="324" spans="1:7" x14ac:dyDescent="0.3">
      <c r="A324" s="15">
        <v>323</v>
      </c>
      <c r="B324" s="15" t="s">
        <v>564</v>
      </c>
      <c r="C324" s="15" t="s">
        <v>566</v>
      </c>
      <c r="D324" s="15" t="s">
        <v>1104</v>
      </c>
      <c r="E324" s="15" t="s">
        <v>1105</v>
      </c>
      <c r="F324" s="15" t="s">
        <v>1106</v>
      </c>
      <c r="G324" s="21" t="s">
        <v>19</v>
      </c>
    </row>
    <row r="325" spans="1:7" x14ac:dyDescent="0.3">
      <c r="A325" s="15">
        <v>324</v>
      </c>
      <c r="B325" s="15" t="s">
        <v>564</v>
      </c>
      <c r="C325" s="15" t="s">
        <v>566</v>
      </c>
      <c r="D325" s="15" t="s">
        <v>1107</v>
      </c>
      <c r="E325" s="15" t="s">
        <v>1105</v>
      </c>
      <c r="F325" s="15" t="s">
        <v>1106</v>
      </c>
      <c r="G325" s="21" t="s">
        <v>19</v>
      </c>
    </row>
    <row r="326" spans="1:7" x14ac:dyDescent="0.3">
      <c r="A326" s="15">
        <v>325</v>
      </c>
      <c r="B326" s="15" t="s">
        <v>564</v>
      </c>
      <c r="C326" s="15" t="s">
        <v>566</v>
      </c>
      <c r="D326" s="15" t="s">
        <v>1108</v>
      </c>
      <c r="E326" s="15" t="s">
        <v>1105</v>
      </c>
      <c r="F326" s="15" t="s">
        <v>1106</v>
      </c>
      <c r="G326" s="21" t="s">
        <v>19</v>
      </c>
    </row>
    <row r="327" spans="1:7" x14ac:dyDescent="0.3">
      <c r="A327" s="15">
        <v>326</v>
      </c>
      <c r="B327" s="15" t="s">
        <v>570</v>
      </c>
      <c r="C327" s="15" t="s">
        <v>571</v>
      </c>
      <c r="D327" s="15" t="s">
        <v>1109</v>
      </c>
      <c r="E327" s="15" t="s">
        <v>1110</v>
      </c>
      <c r="F327" s="15" t="s">
        <v>575</v>
      </c>
      <c r="G327" s="21" t="s">
        <v>19</v>
      </c>
    </row>
    <row r="328" spans="1:7" x14ac:dyDescent="0.3">
      <c r="A328" s="15">
        <v>327</v>
      </c>
      <c r="B328" s="15" t="s">
        <v>570</v>
      </c>
      <c r="C328" s="15" t="s">
        <v>571</v>
      </c>
      <c r="D328" s="15" t="s">
        <v>1111</v>
      </c>
      <c r="E328" s="15" t="s">
        <v>1112</v>
      </c>
      <c r="F328" s="15" t="s">
        <v>575</v>
      </c>
      <c r="G328" s="21" t="s">
        <v>19</v>
      </c>
    </row>
    <row r="329" spans="1:7" x14ac:dyDescent="0.3">
      <c r="A329" s="15">
        <v>328</v>
      </c>
      <c r="B329" s="15" t="s">
        <v>576</v>
      </c>
      <c r="C329" s="15" t="s">
        <v>577</v>
      </c>
      <c r="D329" s="15" t="s">
        <v>1113</v>
      </c>
      <c r="E329" s="15" t="s">
        <v>577</v>
      </c>
      <c r="F329" s="15" t="s">
        <v>1114</v>
      </c>
      <c r="G329" s="21" t="s">
        <v>19</v>
      </c>
    </row>
    <row r="330" spans="1:7" x14ac:dyDescent="0.3">
      <c r="A330" s="15">
        <v>329</v>
      </c>
      <c r="B330" s="15" t="s">
        <v>576</v>
      </c>
      <c r="C330" s="15" t="s">
        <v>577</v>
      </c>
      <c r="D330" s="15" t="s">
        <v>1115</v>
      </c>
      <c r="E330" s="15" t="s">
        <v>1116</v>
      </c>
      <c r="F330" s="15" t="s">
        <v>1114</v>
      </c>
      <c r="G330" s="21" t="s">
        <v>19</v>
      </c>
    </row>
    <row r="331" spans="1:7" x14ac:dyDescent="0.3">
      <c r="A331" s="15">
        <v>330</v>
      </c>
      <c r="B331" s="15" t="s">
        <v>576</v>
      </c>
      <c r="C331" s="15" t="s">
        <v>577</v>
      </c>
      <c r="D331" s="15" t="s">
        <v>1117</v>
      </c>
      <c r="E331" s="15" t="s">
        <v>1118</v>
      </c>
      <c r="F331" s="15" t="s">
        <v>1114</v>
      </c>
      <c r="G331" s="21" t="s">
        <v>19</v>
      </c>
    </row>
    <row r="332" spans="1:7" x14ac:dyDescent="0.3">
      <c r="A332" s="15">
        <v>331</v>
      </c>
      <c r="B332" s="15" t="s">
        <v>582</v>
      </c>
      <c r="C332" s="15" t="s">
        <v>583</v>
      </c>
      <c r="D332" s="15" t="s">
        <v>585</v>
      </c>
      <c r="E332" s="15" t="s">
        <v>609</v>
      </c>
      <c r="F332" s="15" t="s">
        <v>1119</v>
      </c>
      <c r="G332" s="21" t="s">
        <v>19</v>
      </c>
    </row>
    <row r="333" spans="1:7" x14ac:dyDescent="0.3">
      <c r="A333" s="15">
        <v>332</v>
      </c>
      <c r="B333" s="15" t="s">
        <v>582</v>
      </c>
      <c r="C333" s="15" t="s">
        <v>583</v>
      </c>
      <c r="D333" s="15" t="s">
        <v>1120</v>
      </c>
      <c r="E333" s="15" t="s">
        <v>609</v>
      </c>
      <c r="F333" s="15" t="s">
        <v>1119</v>
      </c>
      <c r="G333" s="21" t="s">
        <v>19</v>
      </c>
    </row>
  </sheetData>
  <autoFilter ref="A1:G333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6" customWidth="1"/>
    <col min="2" max="2" width="52" customWidth="1"/>
    <col min="3" max="3" width="56" customWidth="1"/>
    <col min="4" max="4" width="44" customWidth="1"/>
  </cols>
  <sheetData>
    <row r="1" spans="1:4" ht="30" customHeight="1" x14ac:dyDescent="0.3">
      <c r="A1" s="14" t="s">
        <v>1121</v>
      </c>
      <c r="B1" s="14" t="s">
        <v>1122</v>
      </c>
      <c r="C1" s="14" t="s">
        <v>1123</v>
      </c>
      <c r="D1" s="14" t="s">
        <v>1124</v>
      </c>
    </row>
    <row r="2" spans="1:4" x14ac:dyDescent="0.3">
      <c r="A2" s="15" t="s">
        <v>1125</v>
      </c>
      <c r="B2" s="15" t="s">
        <v>1126</v>
      </c>
      <c r="C2" s="15" t="s">
        <v>1127</v>
      </c>
      <c r="D2" s="15" t="s">
        <v>1128</v>
      </c>
    </row>
    <row r="3" spans="1:4" x14ac:dyDescent="0.3">
      <c r="A3" s="15" t="s">
        <v>1129</v>
      </c>
      <c r="B3" s="15" t="s">
        <v>1130</v>
      </c>
      <c r="C3" s="15" t="s">
        <v>1131</v>
      </c>
      <c r="D3" s="15" t="s">
        <v>1132</v>
      </c>
    </row>
    <row r="4" spans="1:4" ht="26.4" x14ac:dyDescent="0.3">
      <c r="A4" s="15" t="s">
        <v>1133</v>
      </c>
      <c r="B4" s="15" t="s">
        <v>1134</v>
      </c>
      <c r="C4" s="15" t="s">
        <v>1135</v>
      </c>
      <c r="D4" s="15" t="s">
        <v>1136</v>
      </c>
    </row>
    <row r="5" spans="1:4" ht="26.4" x14ac:dyDescent="0.3">
      <c r="A5" s="15" t="s">
        <v>1137</v>
      </c>
      <c r="B5" s="15" t="s">
        <v>1138</v>
      </c>
      <c r="C5" s="15" t="s">
        <v>1139</v>
      </c>
      <c r="D5" s="15" t="s">
        <v>1140</v>
      </c>
    </row>
    <row r="6" spans="1:4" x14ac:dyDescent="0.3">
      <c r="A6" s="15" t="s">
        <v>1141</v>
      </c>
      <c r="B6" s="15" t="s">
        <v>1142</v>
      </c>
      <c r="C6" s="15" t="s">
        <v>1143</v>
      </c>
      <c r="D6" s="15" t="s">
        <v>1144</v>
      </c>
    </row>
    <row r="7" spans="1:4" x14ac:dyDescent="0.3">
      <c r="A7" s="15" t="s">
        <v>1145</v>
      </c>
      <c r="B7" s="15" t="s">
        <v>1146</v>
      </c>
      <c r="C7" s="15" t="s">
        <v>1147</v>
      </c>
      <c r="D7" s="15" t="s">
        <v>1148</v>
      </c>
    </row>
    <row r="8" spans="1:4" x14ac:dyDescent="0.3">
      <c r="A8" s="15" t="s">
        <v>615</v>
      </c>
      <c r="B8" s="15" t="s">
        <v>1149</v>
      </c>
      <c r="C8" s="15" t="s">
        <v>1150</v>
      </c>
      <c r="D8" s="15" t="s">
        <v>1148</v>
      </c>
    </row>
    <row r="9" spans="1:4" x14ac:dyDescent="0.3">
      <c r="A9" s="15" t="s">
        <v>1151</v>
      </c>
      <c r="B9" s="15" t="s">
        <v>1152</v>
      </c>
      <c r="C9" s="15" t="s">
        <v>1153</v>
      </c>
      <c r="D9" s="15" t="s">
        <v>1154</v>
      </c>
    </row>
    <row r="10" spans="1:4" x14ac:dyDescent="0.3">
      <c r="A10" s="15" t="s">
        <v>1155</v>
      </c>
      <c r="B10" s="15" t="s">
        <v>1156</v>
      </c>
      <c r="C10" s="15" t="s">
        <v>1157</v>
      </c>
      <c r="D10" s="15" t="s">
        <v>1158</v>
      </c>
    </row>
    <row r="11" spans="1:4" ht="26.4" x14ac:dyDescent="0.3">
      <c r="A11" s="15" t="s">
        <v>1159</v>
      </c>
      <c r="B11" s="15" t="s">
        <v>1160</v>
      </c>
      <c r="C11" s="15" t="s">
        <v>1161</v>
      </c>
      <c r="D11" s="15" t="s">
        <v>1162</v>
      </c>
    </row>
    <row r="12" spans="1:4" x14ac:dyDescent="0.3">
      <c r="A12" s="15" t="s">
        <v>835</v>
      </c>
      <c r="B12" s="15" t="s">
        <v>1163</v>
      </c>
      <c r="C12" s="15" t="s">
        <v>1164</v>
      </c>
      <c r="D12" s="15" t="s">
        <v>1165</v>
      </c>
    </row>
    <row r="13" spans="1:4" x14ac:dyDescent="0.3">
      <c r="A13" s="15" t="s">
        <v>1166</v>
      </c>
      <c r="B13" s="15" t="s">
        <v>1167</v>
      </c>
      <c r="C13" s="15" t="s">
        <v>1168</v>
      </c>
      <c r="D13" s="15" t="s">
        <v>1169</v>
      </c>
    </row>
    <row r="14" spans="1:4" x14ac:dyDescent="0.3">
      <c r="A14" s="15" t="s">
        <v>1170</v>
      </c>
      <c r="B14" s="15" t="s">
        <v>1171</v>
      </c>
      <c r="C14" s="15" t="s">
        <v>1172</v>
      </c>
      <c r="D14" s="15" t="s">
        <v>1173</v>
      </c>
    </row>
    <row r="15" spans="1:4" x14ac:dyDescent="0.3">
      <c r="A15" s="15" t="s">
        <v>1174</v>
      </c>
      <c r="B15" s="15" t="s">
        <v>1175</v>
      </c>
      <c r="C15" s="15" t="s">
        <v>1176</v>
      </c>
      <c r="D15" s="15" t="s">
        <v>1177</v>
      </c>
    </row>
    <row r="16" spans="1:4" ht="26.4" x14ac:dyDescent="0.3">
      <c r="A16" s="15" t="s">
        <v>1178</v>
      </c>
      <c r="B16" s="15" t="s">
        <v>1179</v>
      </c>
      <c r="C16" s="15" t="s">
        <v>1180</v>
      </c>
      <c r="D16" s="15" t="s">
        <v>1181</v>
      </c>
    </row>
    <row r="17" spans="1:4" ht="26.4" x14ac:dyDescent="0.3">
      <c r="A17" s="15" t="s">
        <v>1182</v>
      </c>
      <c r="B17" s="15" t="s">
        <v>1183</v>
      </c>
      <c r="C17" s="15" t="s">
        <v>1184</v>
      </c>
      <c r="D17" s="15" t="s">
        <v>1185</v>
      </c>
    </row>
    <row r="18" spans="1:4" ht="26.4" x14ac:dyDescent="0.3">
      <c r="A18" s="15" t="s">
        <v>1186</v>
      </c>
      <c r="B18" s="15" t="s">
        <v>1187</v>
      </c>
      <c r="C18" s="15" t="s">
        <v>831</v>
      </c>
      <c r="D18" s="15" t="s">
        <v>1188</v>
      </c>
    </row>
    <row r="19" spans="1:4" x14ac:dyDescent="0.3">
      <c r="A19" s="15" t="s">
        <v>1189</v>
      </c>
      <c r="B19" s="15" t="s">
        <v>1190</v>
      </c>
      <c r="C19" s="15" t="s">
        <v>1191</v>
      </c>
      <c r="D19" s="15" t="s">
        <v>1192</v>
      </c>
    </row>
    <row r="20" spans="1:4" ht="26.4" x14ac:dyDescent="0.3">
      <c r="A20" s="15" t="s">
        <v>1193</v>
      </c>
      <c r="B20" s="15" t="s">
        <v>1194</v>
      </c>
      <c r="C20" s="15" t="s">
        <v>1195</v>
      </c>
      <c r="D20" s="15" t="s">
        <v>1196</v>
      </c>
    </row>
    <row r="21" spans="1:4" ht="26.4" x14ac:dyDescent="0.3">
      <c r="A21" s="15" t="s">
        <v>1197</v>
      </c>
      <c r="B21" s="15" t="s">
        <v>1198</v>
      </c>
      <c r="C21" s="15" t="s">
        <v>1199</v>
      </c>
      <c r="D21" s="15" t="s">
        <v>1200</v>
      </c>
    </row>
    <row r="22" spans="1:4" ht="39.6" x14ac:dyDescent="0.3">
      <c r="A22" s="15" t="s">
        <v>1201</v>
      </c>
      <c r="B22" s="15" t="s">
        <v>1202</v>
      </c>
      <c r="C22" s="15" t="s">
        <v>1203</v>
      </c>
      <c r="D22" s="15" t="s">
        <v>1204</v>
      </c>
    </row>
    <row r="23" spans="1:4" ht="26.4" x14ac:dyDescent="0.3">
      <c r="A23" s="15" t="s">
        <v>1205</v>
      </c>
      <c r="B23" s="15" t="s">
        <v>1206</v>
      </c>
      <c r="C23" s="15" t="s">
        <v>1207</v>
      </c>
      <c r="D23" s="15" t="s">
        <v>1208</v>
      </c>
    </row>
    <row r="24" spans="1:4" x14ac:dyDescent="0.3">
      <c r="A24" s="15" t="s">
        <v>1209</v>
      </c>
      <c r="B24" s="15" t="s">
        <v>1210</v>
      </c>
      <c r="C24" s="15" t="s">
        <v>1211</v>
      </c>
      <c r="D24" s="15" t="s">
        <v>1212</v>
      </c>
    </row>
    <row r="25" spans="1:4" ht="26.4" x14ac:dyDescent="0.3">
      <c r="A25" s="15" t="s">
        <v>1213</v>
      </c>
      <c r="B25" s="15" t="s">
        <v>1214</v>
      </c>
      <c r="C25" s="15" t="s">
        <v>1215</v>
      </c>
      <c r="D25" s="15" t="s">
        <v>1216</v>
      </c>
    </row>
    <row r="26" spans="1:4" ht="26.4" x14ac:dyDescent="0.3">
      <c r="A26" s="15" t="s">
        <v>1217</v>
      </c>
      <c r="B26" s="15" t="s">
        <v>1218</v>
      </c>
      <c r="C26" s="15" t="s">
        <v>1219</v>
      </c>
      <c r="D26" s="15" t="s">
        <v>1220</v>
      </c>
    </row>
    <row r="27" spans="1:4" ht="26.4" x14ac:dyDescent="0.3">
      <c r="A27" s="15" t="s">
        <v>1221</v>
      </c>
      <c r="B27" s="15" t="s">
        <v>1222</v>
      </c>
      <c r="C27" s="15" t="s">
        <v>1223</v>
      </c>
      <c r="D27" s="15" t="s">
        <v>1224</v>
      </c>
    </row>
    <row r="28" spans="1:4" ht="26.4" x14ac:dyDescent="0.3">
      <c r="A28" s="15" t="s">
        <v>1225</v>
      </c>
      <c r="B28" s="15" t="s">
        <v>1226</v>
      </c>
      <c r="C28" s="15" t="s">
        <v>1227</v>
      </c>
      <c r="D28" s="15" t="s">
        <v>1228</v>
      </c>
    </row>
    <row r="29" spans="1:4" x14ac:dyDescent="0.3">
      <c r="A29" s="15" t="s">
        <v>1229</v>
      </c>
      <c r="B29" s="15" t="s">
        <v>1230</v>
      </c>
      <c r="C29" s="15" t="s">
        <v>1231</v>
      </c>
      <c r="D29" s="15" t="s">
        <v>1232</v>
      </c>
    </row>
    <row r="30" spans="1:4" x14ac:dyDescent="0.3">
      <c r="A30" s="15" t="s">
        <v>1233</v>
      </c>
      <c r="B30" s="15" t="s">
        <v>1234</v>
      </c>
      <c r="C30" s="15" t="s">
        <v>1235</v>
      </c>
      <c r="D30" s="15" t="s">
        <v>1236</v>
      </c>
    </row>
    <row r="31" spans="1:4" ht="26.4" x14ac:dyDescent="0.3">
      <c r="A31" s="15" t="s">
        <v>1237</v>
      </c>
      <c r="B31" s="15" t="s">
        <v>1238</v>
      </c>
      <c r="C31" s="15" t="s">
        <v>1239</v>
      </c>
      <c r="D31" s="15" t="s">
        <v>1240</v>
      </c>
    </row>
    <row r="32" spans="1:4" ht="26.4" x14ac:dyDescent="0.3">
      <c r="A32" s="15" t="s">
        <v>1241</v>
      </c>
      <c r="B32" s="15" t="s">
        <v>1242</v>
      </c>
      <c r="C32" s="15" t="s">
        <v>1243</v>
      </c>
      <c r="D32" s="15" t="s">
        <v>1244</v>
      </c>
    </row>
    <row r="33" spans="1:4" x14ac:dyDescent="0.3">
      <c r="A33" s="15" t="s">
        <v>1245</v>
      </c>
      <c r="B33" s="15" t="s">
        <v>1246</v>
      </c>
      <c r="C33" s="15" t="s">
        <v>1247</v>
      </c>
      <c r="D33" s="15" t="s">
        <v>1248</v>
      </c>
    </row>
    <row r="34" spans="1:4" x14ac:dyDescent="0.3">
      <c r="A34" s="15" t="s">
        <v>1249</v>
      </c>
      <c r="B34" s="15" t="s">
        <v>1250</v>
      </c>
      <c r="C34" s="15" t="s">
        <v>1251</v>
      </c>
      <c r="D34" s="15" t="s">
        <v>1252</v>
      </c>
    </row>
    <row r="35" spans="1:4" x14ac:dyDescent="0.3">
      <c r="A35" s="15" t="s">
        <v>1253</v>
      </c>
      <c r="B35" s="15" t="s">
        <v>1254</v>
      </c>
      <c r="C35" s="15" t="s">
        <v>1255</v>
      </c>
      <c r="D35" s="15" t="s">
        <v>1256</v>
      </c>
    </row>
    <row r="36" spans="1:4" x14ac:dyDescent="0.3">
      <c r="A36" s="15" t="s">
        <v>1257</v>
      </c>
      <c r="B36" s="15" t="s">
        <v>1258</v>
      </c>
      <c r="C36" s="15" t="s">
        <v>1259</v>
      </c>
      <c r="D36" s="15" t="s">
        <v>1260</v>
      </c>
    </row>
    <row r="37" spans="1:4" ht="26.4" x14ac:dyDescent="0.3">
      <c r="A37" s="15" t="s">
        <v>1261</v>
      </c>
      <c r="B37" s="15" t="s">
        <v>1262</v>
      </c>
      <c r="C37" s="15" t="s">
        <v>1263</v>
      </c>
      <c r="D37" s="15" t="s">
        <v>1264</v>
      </c>
    </row>
    <row r="38" spans="1:4" x14ac:dyDescent="0.3">
      <c r="A38" s="15" t="s">
        <v>1265</v>
      </c>
      <c r="B38" s="15" t="s">
        <v>1266</v>
      </c>
      <c r="C38" s="15" t="s">
        <v>1267</v>
      </c>
      <c r="D38" s="15" t="s">
        <v>1268</v>
      </c>
    </row>
    <row r="39" spans="1:4" x14ac:dyDescent="0.3">
      <c r="A39" s="15" t="s">
        <v>1269</v>
      </c>
      <c r="B39" s="15" t="s">
        <v>1270</v>
      </c>
      <c r="C39" s="15" t="s">
        <v>1271</v>
      </c>
      <c r="D39" s="15" t="s">
        <v>1272</v>
      </c>
    </row>
    <row r="40" spans="1:4" x14ac:dyDescent="0.3">
      <c r="A40" s="15" t="s">
        <v>1273</v>
      </c>
      <c r="B40" s="15" t="s">
        <v>1274</v>
      </c>
      <c r="C40" s="15" t="s">
        <v>1275</v>
      </c>
      <c r="D40" s="15" t="s">
        <v>1276</v>
      </c>
    </row>
    <row r="41" spans="1:4" x14ac:dyDescent="0.3">
      <c r="A41" s="15" t="s">
        <v>1277</v>
      </c>
      <c r="B41" s="15" t="s">
        <v>1278</v>
      </c>
      <c r="C41" s="15" t="s">
        <v>1279</v>
      </c>
      <c r="D41" s="15" t="s">
        <v>1280</v>
      </c>
    </row>
    <row r="42" spans="1:4" x14ac:dyDescent="0.3">
      <c r="A42" s="15" t="s">
        <v>1281</v>
      </c>
      <c r="B42" s="15" t="s">
        <v>1282</v>
      </c>
      <c r="C42" s="15" t="s">
        <v>1283</v>
      </c>
      <c r="D42" s="15" t="s">
        <v>1284</v>
      </c>
    </row>
    <row r="43" spans="1:4" x14ac:dyDescent="0.3">
      <c r="A43" s="15" t="s">
        <v>1285</v>
      </c>
      <c r="B43" s="15" t="s">
        <v>1286</v>
      </c>
      <c r="C43" s="15" t="s">
        <v>1287</v>
      </c>
      <c r="D43" s="15" t="s">
        <v>1288</v>
      </c>
    </row>
    <row r="44" spans="1:4" x14ac:dyDescent="0.3">
      <c r="A44" s="15" t="s">
        <v>1289</v>
      </c>
      <c r="B44" s="15" t="s">
        <v>1290</v>
      </c>
      <c r="C44" s="15" t="s">
        <v>1291</v>
      </c>
      <c r="D44" s="15" t="s">
        <v>1292</v>
      </c>
    </row>
    <row r="45" spans="1:4" x14ac:dyDescent="0.3">
      <c r="A45" s="15" t="s">
        <v>1293</v>
      </c>
      <c r="B45" s="15" t="s">
        <v>1294</v>
      </c>
      <c r="C45" s="15" t="s">
        <v>1295</v>
      </c>
      <c r="D45" s="15" t="s">
        <v>1296</v>
      </c>
    </row>
  </sheetData>
  <autoFilter ref="A1:D45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30" customWidth="1"/>
    <col min="2" max="2" width="46" customWidth="1"/>
    <col min="3" max="3" width="56" customWidth="1"/>
    <col min="4" max="4" width="36" customWidth="1"/>
  </cols>
  <sheetData>
    <row r="1" spans="1:4" ht="30" customHeight="1" x14ac:dyDescent="0.3">
      <c r="A1" s="14" t="s">
        <v>937</v>
      </c>
      <c r="B1" s="14" t="s">
        <v>30</v>
      </c>
      <c r="C1" s="14" t="s">
        <v>1297</v>
      </c>
      <c r="D1" s="14" t="s">
        <v>1298</v>
      </c>
    </row>
    <row r="2" spans="1:4" ht="26.4" x14ac:dyDescent="0.3">
      <c r="A2" s="15" t="s">
        <v>1299</v>
      </c>
      <c r="B2" s="15" t="s">
        <v>1219</v>
      </c>
      <c r="C2" s="15" t="s">
        <v>1300</v>
      </c>
      <c r="D2" s="15" t="s">
        <v>1301</v>
      </c>
    </row>
    <row r="3" spans="1:4" x14ac:dyDescent="0.3">
      <c r="A3" s="15" t="s">
        <v>1302</v>
      </c>
      <c r="B3" s="15" t="s">
        <v>1303</v>
      </c>
      <c r="C3" s="15" t="s">
        <v>1304</v>
      </c>
      <c r="D3" s="15" t="s">
        <v>1305</v>
      </c>
    </row>
    <row r="4" spans="1:4" x14ac:dyDescent="0.3">
      <c r="A4" s="15" t="s">
        <v>1306</v>
      </c>
      <c r="B4" s="15" t="s">
        <v>1307</v>
      </c>
      <c r="C4" s="15" t="s">
        <v>1308</v>
      </c>
      <c r="D4" s="15" t="s">
        <v>1309</v>
      </c>
    </row>
    <row r="5" spans="1:4" x14ac:dyDescent="0.3">
      <c r="A5" s="15" t="s">
        <v>1310</v>
      </c>
      <c r="B5" s="15" t="s">
        <v>1311</v>
      </c>
      <c r="C5" s="15" t="s">
        <v>1312</v>
      </c>
      <c r="D5" s="15" t="s">
        <v>1313</v>
      </c>
    </row>
    <row r="6" spans="1:4" ht="26.4" x14ac:dyDescent="0.3">
      <c r="A6" s="15" t="s">
        <v>1314</v>
      </c>
      <c r="B6" s="15" t="s">
        <v>1315</v>
      </c>
      <c r="C6" s="15" t="s">
        <v>1316</v>
      </c>
      <c r="D6" s="15" t="s">
        <v>1317</v>
      </c>
    </row>
    <row r="7" spans="1:4" x14ac:dyDescent="0.3">
      <c r="A7" s="15" t="s">
        <v>1318</v>
      </c>
      <c r="B7" s="15" t="s">
        <v>1319</v>
      </c>
      <c r="C7" s="15" t="s">
        <v>1320</v>
      </c>
      <c r="D7" s="15" t="s">
        <v>1321</v>
      </c>
    </row>
    <row r="8" spans="1:4" x14ac:dyDescent="0.3">
      <c r="A8" s="15" t="s">
        <v>1322</v>
      </c>
      <c r="B8" s="15" t="s">
        <v>1323</v>
      </c>
      <c r="C8" s="15" t="s">
        <v>1324</v>
      </c>
      <c r="D8" s="15" t="s">
        <v>1325</v>
      </c>
    </row>
    <row r="9" spans="1:4" x14ac:dyDescent="0.3">
      <c r="A9" s="15" t="s">
        <v>1326</v>
      </c>
      <c r="B9" s="15" t="s">
        <v>1327</v>
      </c>
      <c r="C9" s="15" t="s">
        <v>1328</v>
      </c>
      <c r="D9" s="15" t="s">
        <v>1329</v>
      </c>
    </row>
    <row r="10" spans="1:4" ht="26.4" x14ac:dyDescent="0.3">
      <c r="A10" s="15" t="s">
        <v>1330</v>
      </c>
      <c r="B10" s="15" t="s">
        <v>1331</v>
      </c>
      <c r="C10" s="15" t="s">
        <v>1332</v>
      </c>
      <c r="D10" s="15" t="s">
        <v>1333</v>
      </c>
    </row>
    <row r="11" spans="1:4" x14ac:dyDescent="0.3">
      <c r="A11" s="15" t="s">
        <v>1334</v>
      </c>
      <c r="B11" s="15" t="s">
        <v>1335</v>
      </c>
      <c r="C11" s="15" t="s">
        <v>1336</v>
      </c>
      <c r="D11" s="15" t="s">
        <v>1337</v>
      </c>
    </row>
    <row r="12" spans="1:4" x14ac:dyDescent="0.3">
      <c r="A12" s="15" t="s">
        <v>1338</v>
      </c>
      <c r="B12" s="15" t="s">
        <v>1339</v>
      </c>
      <c r="C12" s="15" t="s">
        <v>1340</v>
      </c>
      <c r="D12" s="15" t="s">
        <v>1341</v>
      </c>
    </row>
    <row r="13" spans="1:4" x14ac:dyDescent="0.3">
      <c r="A13" s="15" t="s">
        <v>1342</v>
      </c>
      <c r="B13" s="15" t="s">
        <v>1343</v>
      </c>
      <c r="C13" s="15" t="s">
        <v>1344</v>
      </c>
      <c r="D13" s="15" t="s">
        <v>1345</v>
      </c>
    </row>
    <row r="14" spans="1:4" x14ac:dyDescent="0.3">
      <c r="A14" s="15" t="s">
        <v>1346</v>
      </c>
      <c r="B14" s="15" t="s">
        <v>1347</v>
      </c>
      <c r="C14" s="15" t="s">
        <v>1348</v>
      </c>
      <c r="D14" s="15" t="s">
        <v>1349</v>
      </c>
    </row>
    <row r="15" spans="1:4" x14ac:dyDescent="0.3">
      <c r="A15" s="15" t="s">
        <v>1350</v>
      </c>
      <c r="B15" s="15" t="s">
        <v>1351</v>
      </c>
      <c r="C15" s="15" t="s">
        <v>1352</v>
      </c>
      <c r="D15" s="15" t="s">
        <v>1353</v>
      </c>
    </row>
    <row r="16" spans="1:4" x14ac:dyDescent="0.3">
      <c r="A16" s="15" t="s">
        <v>1354</v>
      </c>
      <c r="B16" s="15" t="s">
        <v>1355</v>
      </c>
      <c r="C16" s="15" t="s">
        <v>1356</v>
      </c>
      <c r="D16" s="15" t="s">
        <v>1357</v>
      </c>
    </row>
    <row r="17" spans="1:4" x14ac:dyDescent="0.3">
      <c r="A17" s="15" t="s">
        <v>1358</v>
      </c>
      <c r="B17" s="15" t="s">
        <v>1359</v>
      </c>
      <c r="C17" s="15" t="s">
        <v>1360</v>
      </c>
      <c r="D17" s="15" t="s">
        <v>1140</v>
      </c>
    </row>
    <row r="18" spans="1:4" x14ac:dyDescent="0.3">
      <c r="A18" s="15" t="s">
        <v>1361</v>
      </c>
      <c r="B18" s="15" t="s">
        <v>1362</v>
      </c>
      <c r="C18" s="15" t="s">
        <v>1363</v>
      </c>
      <c r="D18" s="15" t="s">
        <v>1364</v>
      </c>
    </row>
    <row r="19" spans="1:4" x14ac:dyDescent="0.3">
      <c r="A19" s="15" t="s">
        <v>1365</v>
      </c>
      <c r="B19" s="15" t="s">
        <v>1366</v>
      </c>
      <c r="C19" s="15" t="s">
        <v>1367</v>
      </c>
      <c r="D19" s="15" t="s">
        <v>1368</v>
      </c>
    </row>
    <row r="20" spans="1:4" x14ac:dyDescent="0.3">
      <c r="A20" s="15" t="s">
        <v>1369</v>
      </c>
      <c r="B20" s="15" t="s">
        <v>1370</v>
      </c>
      <c r="C20" s="15" t="s">
        <v>1371</v>
      </c>
      <c r="D20" s="15" t="s">
        <v>1372</v>
      </c>
    </row>
    <row r="21" spans="1:4" x14ac:dyDescent="0.3">
      <c r="A21" s="15" t="s">
        <v>1373</v>
      </c>
      <c r="B21" s="15" t="s">
        <v>1374</v>
      </c>
      <c r="C21" s="15" t="s">
        <v>1375</v>
      </c>
      <c r="D21" s="15" t="s">
        <v>1353</v>
      </c>
    </row>
    <row r="22" spans="1:4" x14ac:dyDescent="0.3">
      <c r="A22" s="15" t="s">
        <v>1376</v>
      </c>
      <c r="B22" s="15" t="s">
        <v>1377</v>
      </c>
      <c r="C22" s="15" t="s">
        <v>1378</v>
      </c>
      <c r="D22" s="15" t="s">
        <v>1379</v>
      </c>
    </row>
    <row r="23" spans="1:4" x14ac:dyDescent="0.3">
      <c r="A23" s="15" t="s">
        <v>1380</v>
      </c>
      <c r="B23" s="15" t="s">
        <v>1381</v>
      </c>
      <c r="C23" s="15" t="s">
        <v>1382</v>
      </c>
      <c r="D23" s="15" t="s">
        <v>1383</v>
      </c>
    </row>
    <row r="24" spans="1:4" x14ac:dyDescent="0.3">
      <c r="A24" s="15" t="s">
        <v>1110</v>
      </c>
      <c r="B24" s="15" t="s">
        <v>1384</v>
      </c>
      <c r="C24" s="15" t="s">
        <v>1385</v>
      </c>
      <c r="D24" s="15" t="s">
        <v>1386</v>
      </c>
    </row>
  </sheetData>
  <autoFilter ref="A1:D24"/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28" customWidth="1"/>
    <col min="2" max="2" width="18" customWidth="1"/>
    <col min="3" max="3" width="16" customWidth="1"/>
    <col min="4" max="4" width="14" customWidth="1"/>
  </cols>
  <sheetData>
    <row r="1" spans="1:4" ht="30" customHeight="1" x14ac:dyDescent="0.3">
      <c r="A1" s="14" t="s">
        <v>32</v>
      </c>
      <c r="B1" s="14" t="s">
        <v>1387</v>
      </c>
      <c r="C1" s="14" t="s">
        <v>1388</v>
      </c>
      <c r="D1" s="14" t="s">
        <v>35</v>
      </c>
    </row>
    <row r="2" spans="1:4" x14ac:dyDescent="0.3">
      <c r="A2" s="16" t="s">
        <v>9</v>
      </c>
      <c r="B2" s="15">
        <f>COUNTIF('Constraint types'!$G:$G,A2)</f>
        <v>18</v>
      </c>
      <c r="C2" s="22">
        <f>IFERROR(B2/B8,0)</f>
        <v>0.18</v>
      </c>
      <c r="D2" s="15">
        <f>COUNTIF(Phrasings!$G:$G,A2)</f>
        <v>134</v>
      </c>
    </row>
    <row r="3" spans="1:4" x14ac:dyDescent="0.3">
      <c r="A3" s="17" t="s">
        <v>11</v>
      </c>
      <c r="B3" s="15">
        <f>COUNTIF('Constraint types'!$G:$G,A3)</f>
        <v>6</v>
      </c>
      <c r="C3" s="22">
        <f>IFERROR(B3/B8,0)</f>
        <v>0.06</v>
      </c>
      <c r="D3" s="15">
        <f>COUNTIF(Phrasings!$G:$G,A3)</f>
        <v>21</v>
      </c>
    </row>
    <row r="4" spans="1:4" x14ac:dyDescent="0.3">
      <c r="A4" s="18" t="s">
        <v>13</v>
      </c>
      <c r="B4" s="15">
        <f>COUNTIF('Constraint types'!$G:$G,A4)</f>
        <v>57</v>
      </c>
      <c r="C4" s="22">
        <f>IFERROR(B4/B8,0)</f>
        <v>0.56999999999999995</v>
      </c>
      <c r="D4" s="15">
        <f>COUNTIF(Phrasings!$G:$G,A4)</f>
        <v>139</v>
      </c>
    </row>
    <row r="5" spans="1:4" x14ac:dyDescent="0.3">
      <c r="A5" s="19" t="s">
        <v>15</v>
      </c>
      <c r="B5" s="15">
        <f>COUNTIF('Constraint types'!$G:$G,A5)</f>
        <v>12</v>
      </c>
      <c r="C5" s="22">
        <f>IFERROR(B5/B8,0)</f>
        <v>0.12</v>
      </c>
      <c r="D5" s="15">
        <f>COUNTIF(Phrasings!$G:$G,A5)</f>
        <v>23</v>
      </c>
    </row>
    <row r="6" spans="1:4" x14ac:dyDescent="0.3">
      <c r="A6" s="20" t="s">
        <v>17</v>
      </c>
      <c r="B6" s="15">
        <f>COUNTIF('Constraint types'!$G:$G,A6)</f>
        <v>3</v>
      </c>
      <c r="C6" s="22">
        <f>IFERROR(B6/B8,0)</f>
        <v>0.03</v>
      </c>
      <c r="D6" s="15">
        <f>COUNTIF(Phrasings!$G:$G,A6)</f>
        <v>5</v>
      </c>
    </row>
    <row r="7" spans="1:4" x14ac:dyDescent="0.3">
      <c r="A7" s="21" t="s">
        <v>19</v>
      </c>
      <c r="B7" s="15">
        <f>COUNTIF('Constraint types'!$G:$G,A7)</f>
        <v>4</v>
      </c>
      <c r="C7" s="22">
        <f>IFERROR(B7/B8,0)</f>
        <v>0.04</v>
      </c>
      <c r="D7" s="15">
        <f>COUNTIF(Phrasings!$G:$G,A7)</f>
        <v>10</v>
      </c>
    </row>
    <row r="8" spans="1:4" x14ac:dyDescent="0.3">
      <c r="A8" s="23" t="s">
        <v>1389</v>
      </c>
      <c r="B8" s="23">
        <f>SUM(B2:B7)</f>
        <v>100</v>
      </c>
      <c r="C8" s="24">
        <f>SUM(C2:C7)</f>
        <v>1</v>
      </c>
      <c r="D8" s="23">
        <f>SUM(D2:D7)</f>
        <v>332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Constraint types</vt:lpstr>
      <vt:lpstr>Phrasings</vt:lpstr>
      <vt:lpstr>Ways of asking</vt:lpstr>
      <vt:lpstr>Traps</vt:lpstr>
      <vt:lpstr>Coverage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Allen Davis</cp:lastModifiedBy>
  <cp:revision>0</cp:revision>
  <dcterms:created xsi:type="dcterms:W3CDTF">2026-09-28T10:01:26Z</dcterms:created>
  <dcterms:modified xsi:type="dcterms:W3CDTF">2026-09-28T10:05:50Z</dcterms:modified>
  <dc:language>en-US</dc:language>
</cp:coreProperties>
</file>