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Teacher loa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<sst xmlns="http://schemas.openxmlformats.org/spreadsheetml/2006/main" count="133" uniqueCount="63">
  <si>
    <t xml:space="preserve">Weekly plan for each section - enter on the Data Entry tab (there is no import for this)</t>
  </si>
  <si>
    <t xml:space="preserve">Same for sections A and B of each class: enter it for A, then use Copy to other sections. Where two teachers are listed, pick both in the teacher picker and the timetable chooses one.</t>
  </si>
  <si>
    <t xml:space="preserve">Subject</t>
  </si>
  <si>
    <t xml:space="preserve">Class 6 periods</t>
  </si>
  <si>
    <t xml:space="preserve">Class 6 teacher</t>
  </si>
  <si>
    <t xml:space="preserve">Class 7 periods</t>
  </si>
  <si>
    <t xml:space="preserve">Class 7 teacher</t>
  </si>
  <si>
    <t xml:space="preserve">Class 8 periods</t>
  </si>
  <si>
    <t xml:space="preserve">Class 8 teacher</t>
  </si>
  <si>
    <t xml:space="preserve">English Lang</t>
  </si>
  <si>
    <t xml:space="preserve">Deepti</t>
  </si>
  <si>
    <t xml:space="preserve">Deepti / Shobana</t>
  </si>
  <si>
    <t xml:space="preserve">Shivani</t>
  </si>
  <si>
    <t xml:space="preserve">English Lit</t>
  </si>
  <si>
    <t xml:space="preserve">Deepti / Anjana</t>
  </si>
  <si>
    <t xml:space="preserve">Hindi</t>
  </si>
  <si>
    <t xml:space="preserve">Praveen</t>
  </si>
  <si>
    <t xml:space="preserve">Praveen / Kiran</t>
  </si>
  <si>
    <t xml:space="preserve">Maths</t>
  </si>
  <si>
    <t xml:space="preserve">Muthu</t>
  </si>
  <si>
    <t xml:space="preserve">Ashutosh</t>
  </si>
  <si>
    <t xml:space="preserve">Physics</t>
  </si>
  <si>
    <t xml:space="preserve">Akshma</t>
  </si>
  <si>
    <t xml:space="preserve">Aman</t>
  </si>
  <si>
    <t xml:space="preserve">Vivek</t>
  </si>
  <si>
    <t xml:space="preserve">Chemistry</t>
  </si>
  <si>
    <t xml:space="preserve">Biology</t>
  </si>
  <si>
    <t xml:space="preserve">Shakuran</t>
  </si>
  <si>
    <t xml:space="preserve">Sumriti</t>
  </si>
  <si>
    <t xml:space="preserve">Deepak</t>
  </si>
  <si>
    <t xml:space="preserve">Hist/Civ</t>
  </si>
  <si>
    <t xml:space="preserve">Usha</t>
  </si>
  <si>
    <t xml:space="preserve">Ajay</t>
  </si>
  <si>
    <t xml:space="preserve">Geography</t>
  </si>
  <si>
    <t xml:space="preserve">Swastika</t>
  </si>
  <si>
    <t xml:space="preserve">Computer</t>
  </si>
  <si>
    <t xml:space="preserve">Muthu / Vivek</t>
  </si>
  <si>
    <t xml:space="preserve">Vikas</t>
  </si>
  <si>
    <t xml:space="preserve">German</t>
  </si>
  <si>
    <t xml:space="preserve">Gurmeet</t>
  </si>
  <si>
    <t xml:space="preserve">M.Sc</t>
  </si>
  <si>
    <t xml:space="preserve">Susan</t>
  </si>
  <si>
    <t xml:space="preserve">Library</t>
  </si>
  <si>
    <t xml:space="preserve">Art</t>
  </si>
  <si>
    <t xml:space="preserve">Stella</t>
  </si>
  <si>
    <t xml:space="preserve">Science Prac</t>
  </si>
  <si>
    <t xml:space="preserve">Akshma / Sumriti</t>
  </si>
  <si>
    <t xml:space="preserve">Life Skill</t>
  </si>
  <si>
    <t xml:space="preserve">Linz / Ajay</t>
  </si>
  <si>
    <t xml:space="preserve">PT/Games</t>
  </si>
  <si>
    <t xml:space="preserve">Lakhan / Suman</t>
  </si>
  <si>
    <t xml:space="preserve">SUPW</t>
  </si>
  <si>
    <t xml:space="preserve">TOTAL</t>
  </si>
  <si>
    <t xml:space="preserve">Teacher</t>
  </si>
  <si>
    <t xml:space="preserve">Periods a week (both sections, first-listed teacher)</t>
  </si>
  <si>
    <t xml:space="preserve">Note</t>
  </si>
  <si>
    <t xml:space="preserve">Shared subjects (two names) count against the first name only</t>
  </si>
  <si>
    <t xml:space="preserve">Anjana</t>
  </si>
  <si>
    <t xml:space="preserve">Kiran</t>
  </si>
  <si>
    <t xml:space="preserve">Lakhan</t>
  </si>
  <si>
    <t xml:space="preserve">Linz</t>
  </si>
  <si>
    <t xml:space="preserve">Shobana</t>
  </si>
  <si>
    <t xml:space="preserve">Suman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</si>
</sst>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n">
        <v>3</v>
      </c>
      <c r="C5" s="4" t="s">
        <v>10</v>
      </c>
      <c r="D5" s="4" t="n">
        <v>3</v>
      </c>
      <c r="E5" s="4" t="s">
        <v>11</v>
      </c>
      <c r="F5" s="4" t="n">
        <v>3</v>
      </c>
      <c r="G5" s="4" t="s">
        <v>12</v>
      </c>
    </row>
    <row r="6" customFormat="false" ht="15" hidden="false" customHeight="false" outlineLevel="0" collapsed="false">
      <c r="A6" s="4" t="s">
        <v>13</v>
      </c>
      <c r="B6" s="4" t="n">
        <v>3</v>
      </c>
      <c r="C6" s="4" t="s">
        <v>10</v>
      </c>
      <c r="D6" s="4" t="n">
        <v>3</v>
      </c>
      <c r="E6" s="4" t="s">
        <v>10</v>
      </c>
      <c r="F6" s="4" t="n">
        <v>3</v>
      </c>
      <c r="G6" s="4" t="s">
        <v>14</v>
      </c>
    </row>
    <row r="7" customFormat="false" ht="15" hidden="false" customHeight="false" outlineLevel="0" collapsed="false">
      <c r="A7" s="4" t="s">
        <v>15</v>
      </c>
      <c r="B7" s="4" t="n">
        <v>5</v>
      </c>
      <c r="C7" s="4" t="s">
        <v>16</v>
      </c>
      <c r="D7" s="4" t="n">
        <v>5</v>
      </c>
      <c r="E7" s="4" t="s">
        <v>16</v>
      </c>
      <c r="F7" s="4" t="n">
        <v>5</v>
      </c>
      <c r="G7" s="4" t="s">
        <v>17</v>
      </c>
    </row>
    <row r="8" customFormat="false" ht="15" hidden="false" customHeight="false" outlineLevel="0" collapsed="false">
      <c r="A8" s="4" t="s">
        <v>18</v>
      </c>
      <c r="B8" s="4" t="n">
        <v>6</v>
      </c>
      <c r="C8" s="4" t="s">
        <v>19</v>
      </c>
      <c r="D8" s="4" t="n">
        <v>6</v>
      </c>
      <c r="E8" s="4" t="s">
        <v>20</v>
      </c>
      <c r="F8" s="4" t="n">
        <v>6</v>
      </c>
      <c r="G8" s="4" t="s">
        <v>20</v>
      </c>
    </row>
    <row r="9" customFormat="false" ht="15" hidden="false" customHeight="false" outlineLevel="0" collapsed="false">
      <c r="A9" s="4" t="s">
        <v>21</v>
      </c>
      <c r="B9" s="4" t="n">
        <v>2</v>
      </c>
      <c r="C9" s="4" t="s">
        <v>22</v>
      </c>
      <c r="D9" s="4" t="n">
        <v>2</v>
      </c>
      <c r="E9" s="4" t="s">
        <v>23</v>
      </c>
      <c r="F9" s="4" t="n">
        <v>2</v>
      </c>
      <c r="G9" s="4" t="s">
        <v>24</v>
      </c>
    </row>
    <row r="10" customFormat="false" ht="15" hidden="false" customHeight="false" outlineLevel="0" collapsed="false">
      <c r="A10" s="4" t="s">
        <v>25</v>
      </c>
      <c r="B10" s="4" t="n">
        <v>2</v>
      </c>
      <c r="C10" s="4" t="s">
        <v>22</v>
      </c>
      <c r="D10" s="4" t="n">
        <v>2</v>
      </c>
      <c r="E10" s="4" t="s">
        <v>22</v>
      </c>
      <c r="F10" s="4" t="n">
        <v>2</v>
      </c>
      <c r="G10" s="4" t="s">
        <v>22</v>
      </c>
    </row>
    <row r="11" customFormat="false" ht="15" hidden="false" customHeight="false" outlineLevel="0" collapsed="false">
      <c r="A11" s="4" t="s">
        <v>26</v>
      </c>
      <c r="B11" s="4" t="n">
        <v>2</v>
      </c>
      <c r="C11" s="4" t="s">
        <v>27</v>
      </c>
      <c r="D11" s="4" t="n">
        <v>2</v>
      </c>
      <c r="E11" s="4" t="s">
        <v>28</v>
      </c>
      <c r="F11" s="4" t="n">
        <v>2</v>
      </c>
      <c r="G11" s="4" t="s">
        <v>29</v>
      </c>
    </row>
    <row r="12" customFormat="false" ht="15" hidden="false" customHeight="false" outlineLevel="0" collapsed="false">
      <c r="A12" s="4" t="s">
        <v>30</v>
      </c>
      <c r="B12" s="4" t="n">
        <v>3</v>
      </c>
      <c r="C12" s="4" t="s">
        <v>31</v>
      </c>
      <c r="D12" s="4" t="n">
        <v>3</v>
      </c>
      <c r="E12" s="4" t="s">
        <v>31</v>
      </c>
      <c r="F12" s="4" t="n">
        <v>3</v>
      </c>
      <c r="G12" s="4" t="s">
        <v>32</v>
      </c>
    </row>
    <row r="13" customFormat="false" ht="15" hidden="false" customHeight="false" outlineLevel="0" collapsed="false">
      <c r="A13" s="4" t="s">
        <v>33</v>
      </c>
      <c r="B13" s="4" t="n">
        <v>2</v>
      </c>
      <c r="C13" s="4" t="s">
        <v>32</v>
      </c>
      <c r="D13" s="4" t="n">
        <v>2</v>
      </c>
      <c r="E13" s="4" t="s">
        <v>32</v>
      </c>
      <c r="F13" s="4" t="n">
        <v>2</v>
      </c>
      <c r="G13" s="4" t="s">
        <v>34</v>
      </c>
    </row>
    <row r="14" customFormat="false" ht="15" hidden="false" customHeight="false" outlineLevel="0" collapsed="false">
      <c r="A14" s="4" t="s">
        <v>35</v>
      </c>
      <c r="B14" s="4" t="n">
        <v>2</v>
      </c>
      <c r="C14" s="4" t="s">
        <v>36</v>
      </c>
      <c r="D14" s="4" t="n">
        <v>2</v>
      </c>
      <c r="E14" s="4" t="s">
        <v>37</v>
      </c>
      <c r="F14" s="4" t="n">
        <v>2</v>
      </c>
      <c r="G14" s="4" t="s">
        <v>37</v>
      </c>
    </row>
    <row r="15" customFormat="false" ht="15" hidden="false" customHeight="false" outlineLevel="0" collapsed="false">
      <c r="A15" s="4" t="s">
        <v>38</v>
      </c>
      <c r="B15" s="4" t="n">
        <v>2</v>
      </c>
      <c r="C15" s="4" t="s">
        <v>39</v>
      </c>
      <c r="D15" s="4" t="n">
        <v>2</v>
      </c>
      <c r="E15" s="4" t="s">
        <v>39</v>
      </c>
      <c r="F15" s="4" t="n">
        <v>2</v>
      </c>
      <c r="G15" s="4" t="s">
        <v>39</v>
      </c>
    </row>
    <row r="16" customFormat="false" ht="15" hidden="false" customHeight="false" outlineLevel="0" collapsed="false">
      <c r="A16" s="4" t="s">
        <v>40</v>
      </c>
      <c r="B16" s="4" t="n">
        <v>1</v>
      </c>
      <c r="C16" s="4" t="s">
        <v>41</v>
      </c>
      <c r="D16" s="4" t="n">
        <v>1</v>
      </c>
      <c r="E16" s="4" t="s">
        <v>41</v>
      </c>
      <c r="F16" s="4" t="n">
        <v>1</v>
      </c>
      <c r="G16" s="4" t="s">
        <v>41</v>
      </c>
    </row>
    <row r="17" customFormat="false" ht="15" hidden="false" customHeight="false" outlineLevel="0" collapsed="false">
      <c r="A17" s="4" t="s">
        <v>42</v>
      </c>
      <c r="B17" s="4" t="n">
        <v>1</v>
      </c>
      <c r="C17" s="4" t="s">
        <v>10</v>
      </c>
      <c r="D17" s="4" t="n">
        <v>1</v>
      </c>
      <c r="E17" s="4" t="s">
        <v>10</v>
      </c>
      <c r="F17" s="4" t="n">
        <v>1</v>
      </c>
      <c r="G17" s="4" t="s">
        <v>10</v>
      </c>
    </row>
    <row r="18" customFormat="false" ht="15" hidden="false" customHeight="false" outlineLevel="0" collapsed="false">
      <c r="A18" s="4" t="s">
        <v>43</v>
      </c>
      <c r="B18" s="4" t="n">
        <v>1</v>
      </c>
      <c r="C18" s="4" t="s">
        <v>44</v>
      </c>
      <c r="D18" s="4" t="n">
        <v>1</v>
      </c>
      <c r="E18" s="4" t="s">
        <v>44</v>
      </c>
      <c r="F18" s="4" t="n">
        <v>1</v>
      </c>
      <c r="G18" s="4" t="s">
        <v>44</v>
      </c>
    </row>
    <row r="19" customFormat="false" ht="15" hidden="false" customHeight="false" outlineLevel="0" collapsed="false">
      <c r="A19" s="4" t="s">
        <v>45</v>
      </c>
      <c r="B19" s="4" t="n">
        <v>1</v>
      </c>
      <c r="C19" s="4" t="s">
        <v>22</v>
      </c>
      <c r="D19" s="4" t="n">
        <v>1</v>
      </c>
      <c r="E19" s="4" t="s">
        <v>46</v>
      </c>
      <c r="F19" s="4" t="n">
        <v>1</v>
      </c>
      <c r="G19" s="4" t="s">
        <v>22</v>
      </c>
    </row>
    <row r="20" customFormat="false" ht="15" hidden="false" customHeight="false" outlineLevel="0" collapsed="false">
      <c r="A20" s="4" t="s">
        <v>47</v>
      </c>
      <c r="B20" s="4" t="n">
        <v>1</v>
      </c>
      <c r="C20" s="4" t="s">
        <v>48</v>
      </c>
      <c r="D20" s="4" t="n">
        <v>1</v>
      </c>
      <c r="E20" s="4" t="s">
        <v>48</v>
      </c>
      <c r="F20" s="4" t="n">
        <v>1</v>
      </c>
      <c r="G20" s="4" t="s">
        <v>20</v>
      </c>
    </row>
    <row r="21" customFormat="false" ht="15" hidden="false" customHeight="false" outlineLevel="0" collapsed="false">
      <c r="A21" s="4" t="s">
        <v>49</v>
      </c>
      <c r="B21" s="4" t="n">
        <v>2</v>
      </c>
      <c r="C21" s="4" t="s">
        <v>50</v>
      </c>
      <c r="D21" s="4" t="n">
        <v>2</v>
      </c>
      <c r="E21" s="4" t="s">
        <v>50</v>
      </c>
      <c r="F21" s="4" t="n">
        <v>2</v>
      </c>
      <c r="G21" s="4" t="s">
        <v>50</v>
      </c>
    </row>
    <row r="22" customFormat="false" ht="15" hidden="false" customHeight="false" outlineLevel="0" collapsed="false">
      <c r="A22" s="4" t="s">
        <v>51</v>
      </c>
      <c r="B22" s="4" t="n">
        <v>1</v>
      </c>
      <c r="C22" s="4" t="s">
        <v>31</v>
      </c>
      <c r="D22" s="4" t="n">
        <v>1</v>
      </c>
      <c r="E22" s="4" t="s">
        <v>44</v>
      </c>
      <c r="F22" s="4" t="n">
        <v>1</v>
      </c>
      <c r="G22" s="4" t="s">
        <v>44</v>
      </c>
    </row>
    <row r="23" customFormat="false" ht="15" hidden="false" customHeight="false" outlineLevel="0" collapsed="false">
      <c r="A23" s="5" t="s">
        <v>52</v>
      </c>
      <c r="B23" s="5" t="n">
        <f aca="false">SUM(B5:B22)</f>
        <v>40</v>
      </c>
      <c r="C23" s="5"/>
      <c r="D23" s="5" t="n">
        <f aca="false">SUM(D5:D22)</f>
        <v>40</v>
      </c>
      <c r="E23" s="5"/>
      <c r="F23" s="5" t="n">
        <f aca="false">SUM(F5:F22)</f>
        <v>40</v>
      </c>
      <c r="G2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58"/>
  </cols>
  <sheetData>
    <row r="1" customFormat="false" ht="15" hidden="false" customHeight="false" outlineLevel="0" collapsed="false">
      <c r="A1" s="5" t="s">
        <v>53</v>
      </c>
      <c r="B1" s="5" t="s">
        <v>54</v>
      </c>
      <c r="C1" s="5" t="s">
        <v>55</v>
      </c>
    </row>
    <row r="2" customFormat="false" ht="15" hidden="false" customHeight="false" outlineLevel="0" collapsed="false">
      <c r="A2" s="4" t="s">
        <v>32</v>
      </c>
      <c r="B2" s="4" t="n">
        <f aca="false">2*(SUMPRODUCT((LEFT('Weekly plan'!C5:C22,LEN("Ajay"))="Ajay")*'Weekly plan'!B5:B22)+SUMPRODUCT((LEFT('Weekly plan'!E5:E22,LEN("Ajay"))="Ajay")*'Weekly plan'!D5:D22)+SUMPRODUCT((LEFT('Weekly plan'!G5:G22,LEN("Ajay"))="Ajay")*'Weekly plan'!F5:F22))</f>
        <v>14</v>
      </c>
      <c r="C2" s="4" t="s">
        <v>56</v>
      </c>
    </row>
    <row r="3" customFormat="false" ht="15" hidden="false" customHeight="false" outlineLevel="0" collapsed="false">
      <c r="A3" s="4" t="s">
        <v>22</v>
      </c>
      <c r="B3" s="4" t="n">
        <f aca="false">2*(SUMPRODUCT((LEFT('Weekly plan'!C5:C22,LEN("Akshma"))="Akshma")*'Weekly plan'!B5:B22)+SUMPRODUCT((LEFT('Weekly plan'!E5:E22,LEN("Akshma"))="Akshma")*'Weekly plan'!D5:D22)+SUMPRODUCT((LEFT('Weekly plan'!G5:G22,LEN("Akshma"))="Akshma")*'Weekly plan'!F5:F22))</f>
        <v>22</v>
      </c>
      <c r="C3" s="4" t="s">
        <v>56</v>
      </c>
    </row>
    <row r="4" customFormat="false" ht="15" hidden="false" customHeight="false" outlineLevel="0" collapsed="false">
      <c r="A4" s="4" t="s">
        <v>23</v>
      </c>
      <c r="B4" s="4" t="n">
        <f aca="false">2*(SUMPRODUCT((LEFT('Weekly plan'!C5:C22,LEN("Aman"))="Aman")*'Weekly plan'!B5:B22)+SUMPRODUCT((LEFT('Weekly plan'!E5:E22,LEN("Aman"))="Aman")*'Weekly plan'!D5:D22)+SUMPRODUCT((LEFT('Weekly plan'!G5:G22,LEN("Aman"))="Aman")*'Weekly plan'!F5:F22))</f>
        <v>4</v>
      </c>
      <c r="C4" s="4" t="s">
        <v>56</v>
      </c>
    </row>
    <row r="5" customFormat="false" ht="15" hidden="false" customHeight="false" outlineLevel="0" collapsed="false">
      <c r="A5" s="4" t="s">
        <v>57</v>
      </c>
      <c r="B5" s="4" t="n">
        <f aca="false">2*(SUMPRODUCT((LEFT('Weekly plan'!C5:C22,LEN("Anjana"))="Anjana")*'Weekly plan'!B5:B22)+SUMPRODUCT((LEFT('Weekly plan'!E5:E22,LEN("Anjana"))="Anjana")*'Weekly plan'!D5:D22)+SUMPRODUCT((LEFT('Weekly plan'!G5:G22,LEN("Anjana"))="Anjana")*'Weekly plan'!F5:F22))</f>
        <v>0</v>
      </c>
      <c r="C5" s="4" t="s">
        <v>56</v>
      </c>
    </row>
    <row r="6" customFormat="false" ht="15" hidden="false" customHeight="false" outlineLevel="0" collapsed="false">
      <c r="A6" s="4" t="s">
        <v>20</v>
      </c>
      <c r="B6" s="4" t="n">
        <f aca="false">2*(SUMPRODUCT((LEFT('Weekly plan'!C5:C22,LEN("Ashutosh"))="Ashutosh")*'Weekly plan'!B5:B22)+SUMPRODUCT((LEFT('Weekly plan'!E5:E22,LEN("Ashutosh"))="Ashutosh")*'Weekly plan'!D5:D22)+SUMPRODUCT((LEFT('Weekly plan'!G5:G22,LEN("Ashutosh"))="Ashutosh")*'Weekly plan'!F5:F22))</f>
        <v>26</v>
      </c>
      <c r="C6" s="4" t="s">
        <v>56</v>
      </c>
    </row>
    <row r="7" customFormat="false" ht="15" hidden="false" customHeight="false" outlineLevel="0" collapsed="false">
      <c r="A7" s="4" t="s">
        <v>29</v>
      </c>
      <c r="B7" s="4" t="n">
        <f aca="false">2*(SUMPRODUCT((LEFT('Weekly plan'!C5:C22,LEN("Deepak"))="Deepak")*'Weekly plan'!B5:B22)+SUMPRODUCT((LEFT('Weekly plan'!E5:E22,LEN("Deepak"))="Deepak")*'Weekly plan'!D5:D22)+SUMPRODUCT((LEFT('Weekly plan'!G5:G22,LEN("Deepak"))="Deepak")*'Weekly plan'!F5:F22))</f>
        <v>4</v>
      </c>
      <c r="C7" s="4" t="s">
        <v>56</v>
      </c>
    </row>
    <row r="8" customFormat="false" ht="15" hidden="false" customHeight="false" outlineLevel="0" collapsed="false">
      <c r="A8" s="4" t="s">
        <v>10</v>
      </c>
      <c r="B8" s="4" t="n">
        <f aca="false">2*(SUMPRODUCT((LEFT('Weekly plan'!C5:C22,LEN("Deepti"))="Deepti")*'Weekly plan'!B5:B22)+SUMPRODUCT((LEFT('Weekly plan'!E5:E22,LEN("Deepti"))="Deepti")*'Weekly plan'!D5:D22)+SUMPRODUCT((LEFT('Weekly plan'!G5:G22,LEN("Deepti"))="Deepti")*'Weekly plan'!F5:F22))</f>
        <v>36</v>
      </c>
      <c r="C8" s="4" t="s">
        <v>56</v>
      </c>
    </row>
    <row r="9" customFormat="false" ht="15" hidden="false" customHeight="false" outlineLevel="0" collapsed="false">
      <c r="A9" s="4" t="s">
        <v>39</v>
      </c>
      <c r="B9" s="4" t="n">
        <f aca="false">2*(SUMPRODUCT((LEFT('Weekly plan'!C5:C22,LEN("Gurmeet"))="Gurmeet")*'Weekly plan'!B5:B22)+SUMPRODUCT((LEFT('Weekly plan'!E5:E22,LEN("Gurmeet"))="Gurmeet")*'Weekly plan'!D5:D22)+SUMPRODUCT((LEFT('Weekly plan'!G5:G22,LEN("Gurmeet"))="Gurmeet")*'Weekly plan'!F5:F22))</f>
        <v>12</v>
      </c>
      <c r="C9" s="4" t="s">
        <v>56</v>
      </c>
    </row>
    <row r="10" customFormat="false" ht="15" hidden="false" customHeight="false" outlineLevel="0" collapsed="false">
      <c r="A10" s="4" t="s">
        <v>58</v>
      </c>
      <c r="B10" s="4" t="n">
        <f aca="false">2*(SUMPRODUCT((LEFT('Weekly plan'!C5:C22,LEN("Kiran"))="Kiran")*'Weekly plan'!B5:B22)+SUMPRODUCT((LEFT('Weekly plan'!E5:E22,LEN("Kiran"))="Kiran")*'Weekly plan'!D5:D22)+SUMPRODUCT((LEFT('Weekly plan'!G5:G22,LEN("Kiran"))="Kiran")*'Weekly plan'!F5:F22))</f>
        <v>0</v>
      </c>
      <c r="C10" s="4" t="s">
        <v>56</v>
      </c>
    </row>
    <row r="11" customFormat="false" ht="15" hidden="false" customHeight="false" outlineLevel="0" collapsed="false">
      <c r="A11" s="4" t="s">
        <v>59</v>
      </c>
      <c r="B11" s="4" t="n">
        <f aca="false">2*(SUMPRODUCT((LEFT('Weekly plan'!C5:C22,LEN("Lakhan"))="Lakhan")*'Weekly plan'!B5:B22)+SUMPRODUCT((LEFT('Weekly plan'!E5:E22,LEN("Lakhan"))="Lakhan")*'Weekly plan'!D5:D22)+SUMPRODUCT((LEFT('Weekly plan'!G5:G22,LEN("Lakhan"))="Lakhan")*'Weekly plan'!F5:F22))</f>
        <v>12</v>
      </c>
      <c r="C11" s="4" t="s">
        <v>56</v>
      </c>
    </row>
    <row r="12" customFormat="false" ht="15" hidden="false" customHeight="false" outlineLevel="0" collapsed="false">
      <c r="A12" s="4" t="s">
        <v>60</v>
      </c>
      <c r="B12" s="4" t="n">
        <f aca="false">2*(SUMPRODUCT((LEFT('Weekly plan'!C5:C22,LEN("Linz"))="Linz")*'Weekly plan'!B5:B22)+SUMPRODUCT((LEFT('Weekly plan'!E5:E22,LEN("Linz"))="Linz")*'Weekly plan'!D5:D22)+SUMPRODUCT((LEFT('Weekly plan'!G5:G22,LEN("Linz"))="Linz")*'Weekly plan'!F5:F22))</f>
        <v>4</v>
      </c>
      <c r="C12" s="4" t="s">
        <v>56</v>
      </c>
    </row>
    <row r="13" customFormat="false" ht="15" hidden="false" customHeight="false" outlineLevel="0" collapsed="false">
      <c r="A13" s="4" t="s">
        <v>19</v>
      </c>
      <c r="B13" s="4" t="n">
        <f aca="false">2*(SUMPRODUCT((LEFT('Weekly plan'!C5:C22,LEN("Muthu"))="Muthu")*'Weekly plan'!B5:B22)+SUMPRODUCT((LEFT('Weekly plan'!E5:E22,LEN("Muthu"))="Muthu")*'Weekly plan'!D5:D22)+SUMPRODUCT((LEFT('Weekly plan'!G5:G22,LEN("Muthu"))="Muthu")*'Weekly plan'!F5:F22))</f>
        <v>16</v>
      </c>
      <c r="C13" s="4" t="s">
        <v>56</v>
      </c>
    </row>
    <row r="14" customFormat="false" ht="15" hidden="false" customHeight="false" outlineLevel="0" collapsed="false">
      <c r="A14" s="4" t="s">
        <v>16</v>
      </c>
      <c r="B14" s="4" t="n">
        <f aca="false">2*(SUMPRODUCT((LEFT('Weekly plan'!C5:C22,LEN("Praveen"))="Praveen")*'Weekly plan'!B5:B22)+SUMPRODUCT((LEFT('Weekly plan'!E5:E22,LEN("Praveen"))="Praveen")*'Weekly plan'!D5:D22)+SUMPRODUCT((LEFT('Weekly plan'!G5:G22,LEN("Praveen"))="Praveen")*'Weekly plan'!F5:F22))</f>
        <v>30</v>
      </c>
      <c r="C14" s="4" t="s">
        <v>56</v>
      </c>
    </row>
    <row r="15" customFormat="false" ht="15" hidden="false" customHeight="false" outlineLevel="0" collapsed="false">
      <c r="A15" s="4" t="s">
        <v>27</v>
      </c>
      <c r="B15" s="4" t="n">
        <f aca="false">2*(SUMPRODUCT((LEFT('Weekly plan'!C5:C22,LEN("Shakuran"))="Shakuran")*'Weekly plan'!B5:B22)+SUMPRODUCT((LEFT('Weekly plan'!E5:E22,LEN("Shakuran"))="Shakuran")*'Weekly plan'!D5:D22)+SUMPRODUCT((LEFT('Weekly plan'!G5:G22,LEN("Shakuran"))="Shakuran")*'Weekly plan'!F5:F22))</f>
        <v>4</v>
      </c>
      <c r="C15" s="4" t="s">
        <v>56</v>
      </c>
    </row>
    <row r="16" customFormat="false" ht="15" hidden="false" customHeight="false" outlineLevel="0" collapsed="false">
      <c r="A16" s="4" t="s">
        <v>12</v>
      </c>
      <c r="B16" s="4" t="n">
        <f aca="false">2*(SUMPRODUCT((LEFT('Weekly plan'!C5:C22,LEN("Shivani"))="Shivani")*'Weekly plan'!B5:B22)+SUMPRODUCT((LEFT('Weekly plan'!E5:E22,LEN("Shivani"))="Shivani")*'Weekly plan'!D5:D22)+SUMPRODUCT((LEFT('Weekly plan'!G5:G22,LEN("Shivani"))="Shivani")*'Weekly plan'!F5:F22))</f>
        <v>6</v>
      </c>
      <c r="C16" s="4" t="s">
        <v>56</v>
      </c>
    </row>
    <row r="17" customFormat="false" ht="15" hidden="false" customHeight="false" outlineLevel="0" collapsed="false">
      <c r="A17" s="4" t="s">
        <v>61</v>
      </c>
      <c r="B17" s="4" t="n">
        <f aca="false">2*(SUMPRODUCT((LEFT('Weekly plan'!C5:C22,LEN("Shobana"))="Shobana")*'Weekly plan'!B5:B22)+SUMPRODUCT((LEFT('Weekly plan'!E5:E22,LEN("Shobana"))="Shobana")*'Weekly plan'!D5:D22)+SUMPRODUCT((LEFT('Weekly plan'!G5:G22,LEN("Shobana"))="Shobana")*'Weekly plan'!F5:F22))</f>
        <v>0</v>
      </c>
      <c r="C17" s="4" t="s">
        <v>56</v>
      </c>
    </row>
    <row r="18" customFormat="false" ht="15" hidden="false" customHeight="false" outlineLevel="0" collapsed="false">
      <c r="A18" s="4" t="s">
        <v>44</v>
      </c>
      <c r="B18" s="4" t="n">
        <f aca="false">2*(SUMPRODUCT((LEFT('Weekly plan'!C5:C22,LEN("Stella"))="Stella")*'Weekly plan'!B5:B22)+SUMPRODUCT((LEFT('Weekly plan'!E5:E22,LEN("Stella"))="Stella")*'Weekly plan'!D5:D22)+SUMPRODUCT((LEFT('Weekly plan'!G5:G22,LEN("Stella"))="Stella")*'Weekly plan'!F5:F22))</f>
        <v>10</v>
      </c>
      <c r="C18" s="4" t="s">
        <v>56</v>
      </c>
    </row>
    <row r="19" customFormat="false" ht="15" hidden="false" customHeight="false" outlineLevel="0" collapsed="false">
      <c r="A19" s="4" t="s">
        <v>62</v>
      </c>
      <c r="B19" s="4" t="n">
        <f aca="false">2*(SUMPRODUCT((LEFT('Weekly plan'!C5:C22,LEN("Suman"))="Suman")*'Weekly plan'!B5:B22)+SUMPRODUCT((LEFT('Weekly plan'!E5:E22,LEN("Suman"))="Suman")*'Weekly plan'!D5:D22)+SUMPRODUCT((LEFT('Weekly plan'!G5:G22,LEN("Suman"))="Suman")*'Weekly plan'!F5:F22))</f>
        <v>0</v>
      </c>
      <c r="C19" s="4" t="s">
        <v>56</v>
      </c>
    </row>
    <row r="20" customFormat="false" ht="15" hidden="false" customHeight="false" outlineLevel="0" collapsed="false">
      <c r="A20" s="4" t="s">
        <v>28</v>
      </c>
      <c r="B20" s="4" t="n">
        <f aca="false">2*(SUMPRODUCT((LEFT('Weekly plan'!C5:C22,LEN("Sumriti"))="Sumriti")*'Weekly plan'!B5:B22)+SUMPRODUCT((LEFT('Weekly plan'!E5:E22,LEN("Sumriti"))="Sumriti")*'Weekly plan'!D5:D22)+SUMPRODUCT((LEFT('Weekly plan'!G5:G22,LEN("Sumriti"))="Sumriti")*'Weekly plan'!F5:F22))</f>
        <v>4</v>
      </c>
      <c r="C20" s="4" t="s">
        <v>56</v>
      </c>
    </row>
    <row r="21" customFormat="false" ht="15" hidden="false" customHeight="false" outlineLevel="0" collapsed="false">
      <c r="A21" s="4" t="s">
        <v>41</v>
      </c>
      <c r="B21" s="4" t="n">
        <f aca="false">2*(SUMPRODUCT((LEFT('Weekly plan'!C5:C22,LEN("Susan"))="Susan")*'Weekly plan'!B5:B22)+SUMPRODUCT((LEFT('Weekly plan'!E5:E22,LEN("Susan"))="Susan")*'Weekly plan'!D5:D22)+SUMPRODUCT((LEFT('Weekly plan'!G5:G22,LEN("Susan"))="Susan")*'Weekly plan'!F5:F22))</f>
        <v>6</v>
      </c>
      <c r="C21" s="4" t="s">
        <v>56</v>
      </c>
    </row>
    <row r="22" customFormat="false" ht="15" hidden="false" customHeight="false" outlineLevel="0" collapsed="false">
      <c r="A22" s="4" t="s">
        <v>34</v>
      </c>
      <c r="B22" s="4" t="n">
        <f aca="false">2*(SUMPRODUCT((LEFT('Weekly plan'!C5:C22,LEN("Swastika"))="Swastika")*'Weekly plan'!B5:B22)+SUMPRODUCT((LEFT('Weekly plan'!E5:E22,LEN("Swastika"))="Swastika")*'Weekly plan'!D5:D22)+SUMPRODUCT((LEFT('Weekly plan'!G5:G22,LEN("Swastika"))="Swastika")*'Weekly plan'!F5:F22))</f>
        <v>4</v>
      </c>
      <c r="C22" s="4" t="s">
        <v>56</v>
      </c>
    </row>
    <row r="23" customFormat="false" ht="15" hidden="false" customHeight="false" outlineLevel="0" collapsed="false">
      <c r="A23" s="4" t="s">
        <v>31</v>
      </c>
      <c r="B23" s="4" t="n">
        <f aca="false">2*(SUMPRODUCT((LEFT('Weekly plan'!C5:C22,LEN("Usha"))="Usha")*'Weekly plan'!B5:B22)+SUMPRODUCT((LEFT('Weekly plan'!E5:E22,LEN("Usha"))="Usha")*'Weekly plan'!D5:D22)+SUMPRODUCT((LEFT('Weekly plan'!G5:G22,LEN("Usha"))="Usha")*'Weekly plan'!F5:F22))</f>
        <v>14</v>
      </c>
      <c r="C23" s="4" t="s">
        <v>56</v>
      </c>
    </row>
    <row r="24" customFormat="false" ht="15" hidden="false" customHeight="false" outlineLevel="0" collapsed="false">
      <c r="A24" s="4" t="s">
        <v>37</v>
      </c>
      <c r="B24" s="4" t="n">
        <f aca="false">2*(SUMPRODUCT((LEFT('Weekly plan'!C5:C22,LEN("Vikas"))="Vikas")*'Weekly plan'!B5:B22)+SUMPRODUCT((LEFT('Weekly plan'!E5:E22,LEN("Vikas"))="Vikas")*'Weekly plan'!D5:D22)+SUMPRODUCT((LEFT('Weekly plan'!G5:G22,LEN("Vikas"))="Vikas")*'Weekly plan'!F5:F22))</f>
        <v>8</v>
      </c>
      <c r="C24" s="4" t="s">
        <v>56</v>
      </c>
    </row>
    <row r="25" customFormat="false" ht="15" hidden="false" customHeight="false" outlineLevel="0" collapsed="false">
      <c r="A25" s="4" t="s">
        <v>24</v>
      </c>
      <c r="B25" s="4" t="n">
        <f aca="false">2*(SUMPRODUCT((LEFT('Weekly plan'!C5:C22,LEN("Vivek"))="Vivek")*'Weekly plan'!B5:B22)+SUMPRODUCT((LEFT('Weekly plan'!E5:E22,LEN("Vivek"))="Vivek")*'Weekly plan'!D5:D22)+SUMPRODUCT((LEFT('Weekly plan'!G5:G22,LEN("Vivek"))="Vivek")*'Weekly plan'!F5:F22))</f>
        <v>4</v>
      </c>
      <c r="C25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2026-10-24T18:41:51Z</dcterms:created>
  <dc:creator>openpyxl</dc:creator>
  <dc:description/>
  <dc:language>en-US</dc:language>
  <cp:lastModifiedBy/>
  <dcterms:modified xsi:type="dcterms:W3CDTF">2026-10-24T18:41:51Z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